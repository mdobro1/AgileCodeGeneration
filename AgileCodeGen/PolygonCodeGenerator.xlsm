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93F54BC4-FA7C-475A-BB54-1C6212E19E23}" xr6:coauthVersionLast="47" xr6:coauthVersionMax="47" xr10:uidLastSave="{00000000-0000-0000-0000-000000000000}"/>
  <bookViews>
    <workbookView xWindow="-120" yWindow="-120" windowWidth="29040" windowHeight="15840" tabRatio="638" activeTab="6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F6" i="2637" a="1"/>
  <c r="E9" i="2637" a="1"/>
  <c r="F7" i="2637" a="1"/>
  <c r="D3" i="2637" a="1"/>
  <c r="B12" i="2636" a="1"/>
  <c r="D4" i="2636" a="1"/>
  <c r="F9" i="2637" a="1"/>
  <c r="C6" i="2637" a="1"/>
  <c r="E5" i="2637" a="1"/>
  <c r="B9" i="2632" a="1"/>
  <c r="E8" i="2637" a="1"/>
  <c r="E12" i="2637" a="1"/>
  <c r="C3" i="2637" a="1"/>
  <c r="F3" i="2632" a="1"/>
  <c r="F10" i="2637" a="1"/>
  <c r="E14" i="2637" a="1"/>
  <c r="F4" i="2637" a="1"/>
  <c r="D3" i="2632" a="1"/>
  <c r="C4" i="2636" a="1"/>
  <c r="B9" i="2636" a="1"/>
  <c r="B6" i="2636" a="1"/>
  <c r="E3" i="2636" a="1"/>
  <c r="E6" i="2637" a="1"/>
  <c r="D6" i="2637" a="1"/>
  <c r="B6" i="2637" a="1"/>
  <c r="E3" i="2637" a="1"/>
  <c r="E10" i="2637" a="1"/>
  <c r="C5" i="2637" a="1"/>
  <c r="F3" i="2636" a="1"/>
  <c r="D3" i="2636" a="1"/>
  <c r="C3" i="2636" a="1"/>
  <c r="D5" i="2637" a="1"/>
  <c r="D4" i="2637" a="1"/>
  <c r="B6" i="2632" a="1"/>
  <c r="E7" i="2637" a="1"/>
  <c r="E3" i="2632" a="1"/>
  <c r="E4" i="2637" a="1"/>
  <c r="C4" i="2637" a="1"/>
  <c r="E13" i="2637" a="1"/>
  <c r="F5" i="2637" a="1"/>
  <c r="B12" i="2632" a="1"/>
  <c r="E11" i="2637" a="1"/>
  <c r="D4" i="2636" l="1"/>
  <c r="C4" i="2636"/>
  <c r="A35" i="2636" s="1"/>
  <c r="E14" i="2637"/>
  <c r="A66" i="2637" s="1"/>
  <c r="E12" i="2637"/>
  <c r="A64" i="2637" s="1"/>
  <c r="F4" i="2637"/>
  <c r="F6" i="2637"/>
  <c r="E8" i="2637"/>
  <c r="A60" i="2637" s="1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E4" i="2637"/>
  <c r="A56" i="2637" s="1"/>
  <c r="F5" i="2637"/>
  <c r="F9" i="2637"/>
  <c r="D5" i="2637"/>
  <c r="C5" i="2637"/>
  <c r="A51" i="2637" s="1"/>
  <c r="C6" i="2637"/>
  <c r="A52" i="2637" s="1"/>
  <c r="C4" i="2637"/>
  <c r="A50" i="2637" s="1"/>
  <c r="D6" i="2637"/>
  <c r="D4" i="2637"/>
  <c r="B12" i="2636"/>
  <c r="A26" i="2636" s="1"/>
  <c r="B12" i="2632"/>
  <c r="A24" i="2632" s="1"/>
  <c r="D3" i="2637"/>
  <c r="E3" i="2637"/>
  <c r="A55" i="2637" s="1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2" i="2637"/>
  <c r="A33" i="2637"/>
  <c r="A30" i="2637"/>
  <c r="A28" i="2637"/>
  <c r="A29" i="2637"/>
  <c r="A27" i="2637"/>
  <c r="A16" i="2637"/>
  <c r="A22" i="2637"/>
  <c r="A17" i="2637"/>
  <c r="A15" i="2637"/>
  <c r="A11" i="2637"/>
  <c r="A20" i="2637"/>
  <c r="A14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F14" i="2637" a="1"/>
  <c r="C3" i="2632" a="1"/>
  <c r="F3" i="2637" a="1"/>
  <c r="F13" i="2637" a="1"/>
  <c r="F12" i="2637" a="1"/>
  <c r="F11" i="2637" a="1"/>
  <c r="B12" i="2637" a="1"/>
  <c r="F8" i="2637" a="1"/>
  <c r="B9" i="2637" a="1"/>
  <c r="F14" i="2637" l="1"/>
  <c r="A37" i="2637" s="1"/>
  <c r="B9" i="2637"/>
  <c r="A40" i="2637" s="1"/>
  <c r="F3" i="2637"/>
  <c r="A26" i="2637" s="1"/>
  <c r="B12" i="2637"/>
  <c r="A41" i="2637" s="1"/>
  <c r="F8" i="2637"/>
  <c r="A31" i="2637" s="1"/>
  <c r="F11" i="2637"/>
  <c r="A34" i="2637" s="1"/>
  <c r="F12" i="2637"/>
  <c r="A35" i="2637" s="1"/>
  <c r="F13" i="2637"/>
  <c r="A36" i="2637" s="1"/>
  <c r="C3" i="2632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<sst xmlns="http://schemas.openxmlformats.org/spreadsheetml/2006/main" count="228" uniqueCount="105">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</sst>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1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6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4" borderId="19" xfId="0" applyFill="1" applyBorder="1"/>
    <xf numFmtId="0" fontId="0" fillId="2" borderId="19" xfId="0" applyFill="1" applyBorder="1"/>
    <xf numFmtId="0" fontId="0" fillId="5" borderId="20" xfId="0" applyFill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8" xfId="0" applyBorder="1"/>
    <xf numFmtId="0" fontId="0" fillId="4" borderId="19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94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6"/>
  <sheetViews>
    <sheetView workbookViewId="0">
      <selection activeCell="E28" sqref="E28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I16" s="27"/>
    </row>
    <row r="17" spans="1:9" x14ac:dyDescent="0.25">
      <c r="A17" s="31"/>
      <c r="B17" s="31"/>
      <c r="C17" s="31"/>
      <c r="D17" s="35"/>
      <c r="E17" s="27"/>
      <c r="F17" s="27"/>
      <c r="G17" s="27"/>
      <c r="I17" s="27"/>
    </row>
    <row r="18" spans="1:9" x14ac:dyDescent="0.25">
      <c r="A18" s="31"/>
      <c r="B18" s="31"/>
      <c r="C18" s="31"/>
      <c r="D18" s="31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topLeftCell="A9" workbookViewId="0">
      <selection activeCell="A24" sqref="A24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2" customWidth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61"/>
    </row>
    <row r="2" spans="1:6" x14ac:dyDescent="0.25">
      <c r="A2" t="s">
        <v>38</v>
      </c>
      <c r="B2" s="50" t="s">
        <v>55</v>
      </c>
      <c r="C2" s="51" t="s">
        <v>0</v>
      </c>
      <c r="D2" s="51" t="s">
        <v>76</v>
      </c>
      <c r="E2" s="51" t="s">
        <v>24</v>
      </c>
      <c r="F2" s="52" t="s">
        <v>79</v>
      </c>
    </row>
    <row r="3" spans="1:6" ht="15.75" thickBot="1" x14ac:dyDescent="0.3">
      <c r="A3" t="s">
        <v>39</v>
      </c>
      <c r="B3" s="53" t="s">
        <v>54</v>
      </c>
      <c r="C3" s="54" t="str" cm="1">
        <f t="array" aca="1" ref="C3" ca="1">INDIRECT("'" &amp; $B$3 &amp; "'!c"&amp;ROW(B3)-1)</f>
        <v>Radius</v>
      </c>
      <c r="D3" s="55" t="str" cm="1">
        <f t="array" aca="1" ref="D3" ca="1">INDIRECT("'" &amp; $B$3 &amp; "'!d"&amp;ROW(C3)-1)</f>
        <v>10.0</v>
      </c>
      <c r="E3" s="56" t="str" cm="1">
        <f t="array" aca="1" ref="E3" ca="1">INDIRECT("'" &amp; $B$3 &amp; "'!g"&amp;ROW(D3)-1)</f>
        <v>Diameter</v>
      </c>
      <c r="F3" s="57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0" t="s">
        <v>80</v>
      </c>
      <c r="D5" s="1"/>
    </row>
    <row r="6" spans="1:6" x14ac:dyDescent="0.25">
      <c r="A6" t="s">
        <v>38</v>
      </c>
      <c r="B6" s="44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0" t="s">
        <v>77</v>
      </c>
    </row>
    <row r="9" spans="1:6" x14ac:dyDescent="0.25">
      <c r="A9" t="s">
        <v>43</v>
      </c>
      <c r="B9" s="41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0" t="s">
        <v>78</v>
      </c>
      <c r="C11" s="1"/>
      <c r="D11" s="1"/>
    </row>
    <row r="12" spans="1:6" x14ac:dyDescent="0.25">
      <c r="A12" t="s">
        <v>45</v>
      </c>
      <c r="B12" s="41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2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6" t="s">
        <v>99</v>
      </c>
      <c r="C14" s="1"/>
    </row>
    <row r="15" spans="1:6" s="1" customFormat="1" x14ac:dyDescent="0.25">
      <c r="B15" s="46" t="s">
        <v>100</v>
      </c>
      <c r="D15"/>
      <c r="F15" s="42"/>
    </row>
    <row r="16" spans="1:6" x14ac:dyDescent="0.25">
      <c r="A16" s="1" t="s">
        <v>90</v>
      </c>
      <c r="B16" s="46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6" t="s">
        <v>102</v>
      </c>
    </row>
    <row r="18" spans="1:6" x14ac:dyDescent="0.25">
      <c r="A18" t="s">
        <v>46</v>
      </c>
      <c r="B18" s="46" t="s">
        <v>103</v>
      </c>
    </row>
    <row r="19" spans="1:6" s="1" customFormat="1" x14ac:dyDescent="0.25">
      <c r="A19" s="1" t="s">
        <v>91</v>
      </c>
      <c r="C19"/>
      <c r="D19"/>
      <c r="F19" s="42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7"/>
      <c r="F20" s="42"/>
    </row>
    <row r="21" spans="1:6" s="1" customFormat="1" x14ac:dyDescent="0.25">
      <c r="C21"/>
      <c r="D21"/>
      <c r="F21" s="42"/>
    </row>
    <row r="22" spans="1:6" x14ac:dyDescent="0.25">
      <c r="A22" t="s">
        <v>87</v>
      </c>
      <c r="D22" s="47"/>
    </row>
    <row r="23" spans="1:6" x14ac:dyDescent="0.25">
      <c r="A23" s="41" t="str">
        <f ca="1">"        public double Area { get { return "&amp;B9&amp;"; } }"</f>
        <v xml:space="preserve">        public double Area { get { return Math.PI * Math.Pow(Radius,2); } }</v>
      </c>
      <c r="C23" s="47"/>
      <c r="D23" s="47"/>
    </row>
    <row r="24" spans="1:6" x14ac:dyDescent="0.25">
      <c r="A24" s="41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1"/>
    </row>
    <row r="26" spans="1:6" x14ac:dyDescent="0.25">
      <c r="A26" t="s">
        <v>48</v>
      </c>
    </row>
    <row r="27" spans="1:6" x14ac:dyDescent="0.25">
      <c r="A27" t="s">
        <v>1</v>
      </c>
    </row>
    <row r="28" spans="1:6" x14ac:dyDescent="0.25">
      <c r="A28" s="47" t="s">
        <v>88</v>
      </c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</row>
    <row r="30" spans="1:6" x14ac:dyDescent="0.25">
      <c r="A30" s="47" t="s">
        <v>86</v>
      </c>
    </row>
    <row r="31" spans="1:6" x14ac:dyDescent="0.25">
      <c r="A31" s="47" t="str">
        <f>"            result += ""\r\n--------\r\n Main attributes:"";"</f>
        <v xml:space="preserve">            result += "\r\n--------\r\n Main attributes:";</v>
      </c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1" x14ac:dyDescent="0.25">
      <c r="A33" s="47" t="s">
        <v>93</v>
      </c>
    </row>
    <row r="34" spans="1:1" x14ac:dyDescent="0.25">
      <c r="A34" s="47" t="str">
        <f>"            result += ""\r\n--------\r\n Derived attributes:"";"</f>
        <v xml:space="preserve">            result += "\r\n--------\r\n Derived attributes:";</v>
      </c>
    </row>
    <row r="35" spans="1:1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1" x14ac:dyDescent="0.25">
      <c r="A36" t="s">
        <v>49</v>
      </c>
    </row>
    <row r="37" spans="1:1" x14ac:dyDescent="0.25">
      <c r="A37" t="s">
        <v>2</v>
      </c>
    </row>
    <row r="38" spans="1:1" x14ac:dyDescent="0.25">
      <c r="A38" t="s">
        <v>47</v>
      </c>
    </row>
    <row r="39" spans="1:1" x14ac:dyDescent="0.25">
      <c r="A39" t="s">
        <v>50</v>
      </c>
    </row>
    <row r="40" spans="1:1" x14ac:dyDescent="0.25">
      <c r="A40" t="s">
        <v>1</v>
      </c>
    </row>
    <row r="41" spans="1:1" x14ac:dyDescent="0.25">
      <c r="A41" s="7" t="str">
        <f ca="1">"            var polygon = new "&amp;B6&amp;"Polygon();"</f>
        <v xml:space="preserve">            var polygon = new CirclePolygon();</v>
      </c>
    </row>
    <row r="42" spans="1:1" x14ac:dyDescent="0.25">
      <c r="A42" s="1"/>
    </row>
    <row r="43" spans="1:1" x14ac:dyDescent="0.25">
      <c r="A43" t="s">
        <v>92</v>
      </c>
    </row>
    <row r="44" spans="1:1" x14ac:dyDescent="0.25">
      <c r="A44" t="s">
        <v>2</v>
      </c>
    </row>
    <row r="45" spans="1:1" x14ac:dyDescent="0.25">
      <c r="A45" t="s">
        <v>51</v>
      </c>
    </row>
    <row r="46" spans="1:1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workbookViewId="0">
      <selection activeCell="D31" sqref="D31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2" bestFit="1" customWidth="1"/>
    <col min="7" max="16384" width="11.42578125" style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61"/>
    </row>
    <row r="2" spans="1:6" x14ac:dyDescent="0.25">
      <c r="A2" s="1" t="s">
        <v>38</v>
      </c>
      <c r="B2" s="62" t="s">
        <v>55</v>
      </c>
      <c r="C2" s="63" t="s">
        <v>0</v>
      </c>
      <c r="D2" s="63" t="s">
        <v>76</v>
      </c>
      <c r="E2" s="63" t="s">
        <v>24</v>
      </c>
      <c r="F2" s="64" t="s">
        <v>79</v>
      </c>
    </row>
    <row r="3" spans="1:6" x14ac:dyDescent="0.25">
      <c r="A3" s="1" t="s">
        <v>39</v>
      </c>
      <c r="B3" s="65" t="s">
        <v>83</v>
      </c>
      <c r="C3" s="66" t="str" cm="1">
        <f t="array" aca="1" ref="C3" ca="1">INDIRECT("'" &amp; $B$3 &amp; "'!c"&amp;ROW(B3)-1)</f>
        <v>Width</v>
      </c>
      <c r="D3" s="67" t="str" cm="1">
        <f t="array" aca="1" ref="D3" ca="1">INDIRECT("'" &amp; $B$3 &amp; "'!d"&amp;ROW(C3)-1)</f>
        <v>15.0</v>
      </c>
      <c r="E3" s="68" t="str" cm="1">
        <f t="array" aca="1" ref="E3" ca="1">INDIRECT("'" &amp; $B$3 &amp; "'!g"&amp;ROW(D3)-1)</f>
        <v>Diagonal</v>
      </c>
      <c r="F3" s="69" t="str" cm="1">
        <f t="array" aca="1" ref="F3" ca="1">INDIRECT("'" &amp; $B$3 &amp; "'!i"&amp;ROW(E3)-1)</f>
        <v>Math.Sqrt(Math.Pow(Width,2.0)  + Math.Pow(Height,2.0))</v>
      </c>
    </row>
    <row r="4" spans="1:6" ht="15.75" thickBot="1" x14ac:dyDescent="0.3">
      <c r="A4" s="1" t="s">
        <v>40</v>
      </c>
      <c r="B4" s="70"/>
      <c r="C4" s="54" t="str" cm="1">
        <f t="array" aca="1" ref="C4" ca="1">INDIRECT("'" &amp; $B$3 &amp; "'!c"&amp;ROW(B4)-1)</f>
        <v>Height</v>
      </c>
      <c r="D4" s="71" t="str" cm="1">
        <f t="array" aca="1" ref="D4" ca="1">INDIRECT("'" &amp; $B$3 &amp; "'!d"&amp;ROW(C4)-1)</f>
        <v>10.0</v>
      </c>
      <c r="E4" s="72"/>
      <c r="F4" s="73"/>
    </row>
    <row r="5" spans="1:6" x14ac:dyDescent="0.25">
      <c r="A5" s="1" t="s">
        <v>41</v>
      </c>
      <c r="B5" s="40" t="s">
        <v>80</v>
      </c>
    </row>
    <row r="6" spans="1:6" x14ac:dyDescent="0.25">
      <c r="A6" s="1" t="s">
        <v>38</v>
      </c>
      <c r="B6" s="44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0" t="s">
        <v>77</v>
      </c>
    </row>
    <row r="9" spans="1:6" x14ac:dyDescent="0.25">
      <c r="A9" s="1" t="s">
        <v>43</v>
      </c>
      <c r="B9" s="41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0" t="s">
        <v>78</v>
      </c>
    </row>
    <row r="12" spans="1:6" x14ac:dyDescent="0.25">
      <c r="A12" s="1" t="s">
        <v>45</v>
      </c>
      <c r="B12" s="41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6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6" t="s">
        <v>100</v>
      </c>
    </row>
    <row r="16" spans="1:6" x14ac:dyDescent="0.25">
      <c r="B16" s="46" t="s">
        <v>101</v>
      </c>
    </row>
    <row r="17" spans="1:6" x14ac:dyDescent="0.25">
      <c r="A17" s="1" t="s">
        <v>90</v>
      </c>
      <c r="B17" s="46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6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1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1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7"/>
    </row>
    <row r="28" spans="1:6" s="47" customFormat="1" x14ac:dyDescent="0.25">
      <c r="A28" s="1" t="s">
        <v>48</v>
      </c>
      <c r="C28" s="1"/>
      <c r="D28" s="1"/>
      <c r="F28" s="48"/>
    </row>
    <row r="29" spans="1:6" x14ac:dyDescent="0.25">
      <c r="A29" s="1" t="s">
        <v>1</v>
      </c>
      <c r="B29" s="47"/>
      <c r="C29" s="47"/>
      <c r="D29" s="47"/>
    </row>
    <row r="30" spans="1:6" s="47" customFormat="1" x14ac:dyDescent="0.25">
      <c r="A30" s="47" t="s">
        <v>88</v>
      </c>
      <c r="C30" s="1"/>
      <c r="F30" s="48"/>
    </row>
    <row r="31" spans="1:6" s="47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48"/>
    </row>
    <row r="32" spans="1:6" x14ac:dyDescent="0.25">
      <c r="A32" s="47" t="s">
        <v>86</v>
      </c>
      <c r="C32" s="47"/>
    </row>
    <row r="33" spans="1:6" x14ac:dyDescent="0.25">
      <c r="A33" s="47" t="str">
        <f>"            result += ""\r\n--------\r\n Main attributes:"";"</f>
        <v xml:space="preserve">            result += "\r\n--------\r\n Main attributes:";</v>
      </c>
      <c r="D33" s="47"/>
    </row>
    <row r="34" spans="1:6" s="47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48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47"/>
    </row>
    <row r="36" spans="1:6" x14ac:dyDescent="0.25">
      <c r="A36" s="47" t="s">
        <v>93</v>
      </c>
    </row>
    <row r="37" spans="1:6" x14ac:dyDescent="0.25">
      <c r="A37" s="47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tabSelected="1" workbookViewId="0">
      <selection activeCell="B22" sqref="B22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2" customWidth="1"/>
    <col min="4" max="4" width="11.42578125" style="1"/>
    <col min="5" max="5" width="27" style="1" customWidth="1"/>
    <col min="6" max="6" width="90.7109375" style="85" customWidth="1"/>
    <col min="7" max="16384" width="11.42578125" style="1"/>
  </cols>
  <sheetData>
    <row r="1" spans="1:6" s="45" customFormat="1" ht="33" customHeight="1" thickBot="1" x14ac:dyDescent="0.3">
      <c r="A1" s="49" t="s">
        <v>82</v>
      </c>
      <c r="B1" s="58" t="s">
        <v>81</v>
      </c>
      <c r="C1" s="59"/>
      <c r="D1" s="60"/>
      <c r="E1" s="60"/>
      <c r="F1" s="81"/>
    </row>
    <row r="2" spans="1:6" x14ac:dyDescent="0.25">
      <c r="A2" s="1" t="s">
        <v>38</v>
      </c>
      <c r="B2" s="62" t="s">
        <v>55</v>
      </c>
      <c r="C2" s="63" t="s">
        <v>0</v>
      </c>
      <c r="D2" s="63" t="s">
        <v>76</v>
      </c>
      <c r="E2" s="63" t="s">
        <v>24</v>
      </c>
      <c r="F2" s="82" t="s">
        <v>79</v>
      </c>
    </row>
    <row r="3" spans="1:6" x14ac:dyDescent="0.25">
      <c r="A3" s="1" t="s">
        <v>39</v>
      </c>
      <c r="B3" s="65" t="s">
        <v>84</v>
      </c>
      <c r="C3" s="66" t="str" cm="1">
        <f t="array" aca="1" ref="C3" ca="1">INDIRECT("'" &amp; $B$3 &amp; "'!c"&amp;ROW(B3)-1)</f>
        <v>ShortBase</v>
      </c>
      <c r="D3" s="74" t="str" cm="1">
        <f t="array" aca="1" ref="D3" ca="1">INDIRECT("'" &amp; $B$3 &amp; "'!d"&amp;ROW(C3)-1)</f>
        <v>20.0</v>
      </c>
      <c r="E3" s="68" t="str" cm="1">
        <f t="array" aca="1" ref="E3" ca="1">INDIRECT("'" &amp; $B$3 &amp; "'!g"&amp;ROW(D3)-1)</f>
        <v>MiddleLine</v>
      </c>
      <c r="F3" s="83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1" t="s">
        <v>40</v>
      </c>
      <c r="B4" s="75"/>
      <c r="C4" s="66" t="str" cm="1">
        <f t="array" aca="1" ref="C4" ca="1">INDIRECT("'" &amp; $B$3 &amp; "'!c"&amp;ROW(B4)-1)</f>
        <v>LongBase</v>
      </c>
      <c r="D4" s="74" t="str" cm="1">
        <f t="array" aca="1" ref="D4" ca="1">INDIRECT("'" &amp; $B$3 &amp; "'!d"&amp;ROW(C4)-1)</f>
        <v>30.0</v>
      </c>
      <c r="E4" s="68" t="str" cm="1">
        <f t="array" aca="1" ref="E4" ca="1">INDIRECT("'" &amp; $B$3 &amp; "'!g"&amp;ROW(D4)-1)</f>
        <v>RightSmallBase</v>
      </c>
      <c r="F4" s="83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1" t="s">
        <v>41</v>
      </c>
      <c r="B5" s="76" t="s">
        <v>80</v>
      </c>
      <c r="C5" s="66" t="str" cm="1">
        <f t="array" aca="1" ref="C5" ca="1">INDIRECT("'" &amp; $B$3 &amp; "'!c"&amp;ROW(B5)-1)</f>
        <v>LeftLeg</v>
      </c>
      <c r="D5" s="74" t="str" cm="1">
        <f t="array" aca="1" ref="D5" ca="1">INDIRECT("'" &amp; $B$3 &amp; "'!d"&amp;ROW(C5)-1)</f>
        <v>13.0</v>
      </c>
      <c r="E5" s="68" t="str" cm="1">
        <f t="array" aca="1" ref="E5" ca="1">INDIRECT("'" &amp; $B$3 &amp; "'!g"&amp;ROW(D5)-1)</f>
        <v>LeftSmallBase</v>
      </c>
      <c r="F5" s="83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77" t="str" cm="1">
        <f t="array" aca="1" ref="B6" ca="1">INDIRECT("'" &amp; $B$3 &amp; "'!b2")</f>
        <v>Trapezoid</v>
      </c>
      <c r="C6" s="66" t="str" cm="1">
        <f t="array" aca="1" ref="C6" ca="1">INDIRECT("'" &amp; $B$3 &amp; "'!c"&amp;ROW(B6)-1)</f>
        <v>RightLeg</v>
      </c>
      <c r="D6" s="74" t="str" cm="1">
        <f t="array" aca="1" ref="D6" ca="1">INDIRECT("'" &amp; $B$3 &amp; "'!d"&amp;ROW(C6)-1)</f>
        <v>13.0</v>
      </c>
      <c r="E6" s="68" t="str" cm="1">
        <f t="array" aca="1" ref="E6" ca="1">INDIRECT("'" &amp; $B$3 &amp; "'!g"&amp;ROW(D6)-1)</f>
        <v>Height</v>
      </c>
      <c r="F6" s="83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B7" s="75"/>
      <c r="C7" s="8"/>
      <c r="D7" s="4"/>
      <c r="E7" s="68" t="str" cm="1">
        <f t="array" aca="1" ref="E7" ca="1">INDIRECT("'" &amp; $B$3 &amp; "'!g"&amp;ROW(D7)-1)</f>
        <v>LeftRadianAngle_LongBase</v>
      </c>
      <c r="F7" s="83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76" t="s">
        <v>77</v>
      </c>
      <c r="C8" s="8"/>
      <c r="D8" s="4"/>
      <c r="E8" s="68" t="str" cm="1">
        <f t="array" aca="1" ref="E8" ca="1">INDIRECT("'" &amp; $B$3 &amp; "'!g"&amp;ROW(D8)-1)</f>
        <v>RightRadianAngle_LongBase</v>
      </c>
      <c r="F8" s="83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78" t="str" cm="1">
        <f t="array" aca="1" ref="B9" ca="1">INDIRECT("'" &amp; $B$3 &amp; "'!e3")</f>
        <v>MiddleLine * Height</v>
      </c>
      <c r="C9" s="8"/>
      <c r="D9" s="4"/>
      <c r="E9" s="68" t="str" cm="1">
        <f t="array" aca="1" ref="E9" ca="1">INDIRECT("'" &amp; $B$3 &amp; "'!g"&amp;ROW(D9)-1)</f>
        <v>LeftRadianAngle_ShortBase</v>
      </c>
      <c r="F9" s="83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B10" s="75"/>
      <c r="C10" s="8"/>
      <c r="D10" s="4"/>
      <c r="E10" s="68" t="str" cm="1">
        <f t="array" aca="1" ref="E10" ca="1">INDIRECT("'" &amp; $B$3 &amp; "'!g"&amp;ROW(D10)-1)</f>
        <v>RightRadianAngle_ShortBase</v>
      </c>
      <c r="F10" s="83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76" t="s">
        <v>78</v>
      </c>
      <c r="C11" s="8"/>
      <c r="D11" s="4"/>
      <c r="E11" s="68" t="str" cm="1">
        <f t="array" aca="1" ref="E11" ca="1">INDIRECT("'" &amp; $B$3 &amp; "'!g"&amp;ROW(D11)-1)</f>
        <v>LeftDegreeAngle_LongBase</v>
      </c>
      <c r="F11" s="83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78" t="str" cm="1">
        <f t="array" aca="1" ref="B12" ca="1">INDIRECT("'" &amp; $B$3 &amp; "'!f3")</f>
        <v>ShortBase + LongBase + LeftLeg + RightLeg</v>
      </c>
      <c r="C12" s="8"/>
      <c r="D12" s="4"/>
      <c r="E12" s="68" t="str" cm="1">
        <f t="array" aca="1" ref="E12" ca="1">INDIRECT("'" &amp; $B$3 &amp; "'!g"&amp;ROW(D12)-1)</f>
        <v>RightDegreeAngle_LongBase</v>
      </c>
      <c r="F12" s="83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B13" s="75"/>
      <c r="C13" s="8"/>
      <c r="D13" s="4"/>
      <c r="E13" s="68" t="str" cm="1">
        <f t="array" aca="1" ref="E13" ca="1">INDIRECT("'" &amp; $B$3 &amp; "'!g"&amp;ROW(D13)-1)</f>
        <v>LeftDegreeAngle_ShortBase</v>
      </c>
      <c r="F13" s="83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6" t="str">
        <f ca="1">"        private double m_"&amp;C3&amp;" = "&amp;D3&amp;";"</f>
        <v xml:space="preserve">        private double m_ShortBase = 20.0;</v>
      </c>
      <c r="B14" s="79" t="s">
        <v>99</v>
      </c>
      <c r="C14" s="80"/>
      <c r="D14" s="72"/>
      <c r="E14" s="56" t="str" cm="1">
        <f t="array" aca="1" ref="E14" ca="1">INDIRECT("'" &amp; $B$3 &amp; "'!g"&amp;ROW(D14)-1)</f>
        <v>RightDegreeAngle_ShortBase</v>
      </c>
      <c r="F14" s="84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46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46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46" t="s">
        <v>102</v>
      </c>
    </row>
    <row r="18" spans="1:6" x14ac:dyDescent="0.25">
      <c r="B18" s="46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47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8"/>
      <c r="F26" s="86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7"/>
    </row>
    <row r="28" spans="1:6" s="47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8"/>
      <c r="F28" s="86"/>
    </row>
    <row r="29" spans="1:6" s="47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48"/>
      <c r="F29" s="86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47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48"/>
      <c r="F32" s="86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1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1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47" t="s">
        <v>88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47" t="s">
        <v>86</v>
      </c>
    </row>
    <row r="48" spans="1:1" x14ac:dyDescent="0.25">
      <c r="A48" s="47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47" t="s">
        <v>93</v>
      </c>
    </row>
    <row r="54" spans="1:1" x14ac:dyDescent="0.25">
      <c r="A54" s="47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t="shared" ref="A55:A66" ca="1" si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t="shared" ca="1" si="1"/>
        <v xml:space="preserve">            result += string.Format("\r\n   RightSmallBase = {0}", this.RightSmallBase);</v>
      </c>
    </row>
    <row r="57" spans="1:1" x14ac:dyDescent="0.25">
      <c r="A57" s="6" t="str">
        <f t="shared" ca="1" si="1"/>
        <v xml:space="preserve">            result += string.Format("\r\n   LeftSmallBase = {0}", this.LeftSmallBase);</v>
      </c>
    </row>
    <row r="58" spans="1:1" x14ac:dyDescent="0.25">
      <c r="A58" s="6" t="str">
        <f t="shared" ca="1" si="1"/>
        <v xml:space="preserve">            result += string.Format("\r\n   Height = {0}", this.Height);</v>
      </c>
    </row>
    <row r="59" spans="1:1" x14ac:dyDescent="0.25">
      <c r="A59" s="6" t="str">
        <f t="shared" ca="1" si="1"/>
        <v xml:space="preserve">            result += string.Format("\r\n   LeftRadianAngle_LongBase = {0}", this.LeftRadianAngle_LongBase);</v>
      </c>
    </row>
    <row r="60" spans="1:1" x14ac:dyDescent="0.25">
      <c r="A60" s="6" t="str">
        <f t="shared" ca="1" si="1"/>
        <v xml:space="preserve">            result += string.Format("\r\n   RightRadianAngle_LongBase = {0}", this.RightRadianAngle_LongBase);</v>
      </c>
    </row>
    <row r="61" spans="1:1" x14ac:dyDescent="0.25">
      <c r="A61" s="6" t="str">
        <f t="shared" ca="1" si="1"/>
        <v xml:space="preserve">            result += string.Format("\r\n   LeftRadianAngle_ShortBase = {0}", this.LeftRadianAngle_ShortBase);</v>
      </c>
    </row>
    <row r="62" spans="1:1" x14ac:dyDescent="0.25">
      <c r="A62" s="6" t="str">
        <f t="shared" ca="1" si="1"/>
        <v xml:space="preserve">            result += string.Format("\r\n   RightRadianAngle_ShortBase = {0}", this.RightRadianAngle_ShortBase);</v>
      </c>
    </row>
    <row r="63" spans="1:1" x14ac:dyDescent="0.25">
      <c r="A63" s="6" t="str">
        <f t="shared" ca="1" si="1"/>
        <v xml:space="preserve">            result += string.Format("\r\n   LeftDegreeAngle_LongBase = {0}", this.LeftDegreeAngle_LongBase);</v>
      </c>
    </row>
    <row r="64" spans="1:1" x14ac:dyDescent="0.25">
      <c r="A64" s="6" t="str">
        <f t="shared" ca="1" si="1"/>
        <v xml:space="preserve">            result += string.Format("\r\n   RightDegreeAngle_LongBase = {0}", this.RightDegreeAngle_LongBase);</v>
      </c>
    </row>
    <row r="65" spans="1:1" x14ac:dyDescent="0.25">
      <c r="A65" s="6" t="str">
        <f t="shared" ca="1" si="1"/>
        <v xml:space="preserve">            result += string.Format("\r\n   LeftDegreeAngle_ShortBase = {0}", this.LeftDegreeAngle_ShortBase);</v>
      </c>
    </row>
    <row r="66" spans="1:1" x14ac:dyDescent="0.25">
      <c r="A66" s="6" t="str">
        <f t="shared" ca="1" si="1"/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3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2021-12-05T20:52:03Z</dcterms:modified>
</cp:coreProperties>
</file>