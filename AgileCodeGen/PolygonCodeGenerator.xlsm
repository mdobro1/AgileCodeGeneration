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AgileCodeGeneration\AgileCodeGen\"/>
    </mc:Choice>
  </mc:AlternateContent>
  <xr:revisionPtr revIDLastSave="0" documentId="13_ncr:1_{B54FD2AF-F81F-43BF-8EDC-EA6602F302F7}" xr6:coauthVersionLast="47" xr6:coauthVersionMax="47" xr10:uidLastSave="{00000000-0000-0000-0000-000000000000}"/>
  <bookViews>
    <workbookView xWindow="28680" yWindow="-45" windowWidth="29040" windowHeight="15840" tabRatio="638" activeTab="4" xr2:uid="{00000000-000D-0000-FFFF-FFFF00000000}"/>
  </bookViews>
  <sheets>
    <sheet name="Meta-Model" sheetId="2628" r:id="rId1"/>
    <sheet name="Circle-Model" sheetId="2634" r:id="rId2"/>
    <sheet name="Rectangle-Model" sheetId="2633" r:id="rId3"/>
    <sheet name="Trapezoid-Model" sheetId="2629" r:id="rId4"/>
    <sheet name="CodeGenerator-1" sheetId="2632" r:id="rId5"/>
    <sheet name="CodeGenerator-2" sheetId="2636" r:id="rId6"/>
    <sheet name="CodeGenerator-3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46" i="2637"/>
  <c r="A31" i="2636"/>
  <c r="A54" i="2637"/>
  <c r="A48" i="2637"/>
  <c r="A37" i="2636"/>
  <c r="A33" i="2636"/>
  <c r="A34" i="2632"/>
  <c r="A31" i="2632"/>
  <c r="E3" i="2632" a="1"/>
  <c r="B12" i="2636" a="1"/>
  <c r="D4" i="2636" a="1"/>
  <c r="F5" i="2637" a="1"/>
  <c r="B9" i="2632" a="1"/>
  <c r="F3" i="2637" a="1"/>
  <c r="E10" i="2637" a="1"/>
  <c r="C3" i="2636" a="1"/>
  <c r="D3" i="2637" a="1"/>
  <c r="C6" i="2637" a="1"/>
  <c r="E5" i="2637" a="1"/>
  <c r="B12" i="2637" a="1"/>
  <c r="F10" i="2637" a="1"/>
  <c r="F7" i="2637" a="1"/>
  <c r="E13" i="2637" a="1"/>
  <c r="B6" i="2636" a="1"/>
  <c r="B9" i="2637" a="1"/>
  <c r="C3" i="2637" a="1"/>
  <c r="F6" i="2637" a="1"/>
  <c r="D4" i="2637" a="1"/>
  <c r="B9" i="2636" a="1"/>
  <c r="F14" i="2637" a="1"/>
  <c r="E14" i="2637" a="1"/>
  <c r="E9" i="2637" a="1"/>
  <c r="B12" i="2632" a="1"/>
  <c r="D3" i="2632" a="1"/>
  <c r="F11" i="2637" a="1"/>
  <c r="D6" i="2637" a="1"/>
  <c r="B6" i="2637" a="1"/>
  <c r="F9" i="2637" a="1"/>
  <c r="B6" i="2632" a="1"/>
  <c r="E3" i="2637" a="1"/>
  <c r="F8" i="2637" a="1"/>
  <c r="E6" i="2637" a="1"/>
  <c r="F12" i="2637" a="1"/>
  <c r="E3" i="2636" a="1"/>
  <c r="D3" i="2636" a="1"/>
  <c r="E8" i="2637" a="1"/>
  <c r="D5" i="2637" a="1"/>
  <c r="E4" i="2637" a="1"/>
  <c r="F13" i="2637" a="1"/>
  <c r="C5" i="2637" a="1"/>
  <c r="C4" i="2636" a="1"/>
  <c r="C4" i="2637" a="1"/>
  <c r="E7" i="2637" a="1"/>
  <c r="F3" i="2636" a="1"/>
  <c r="E11" i="2637" a="1"/>
  <c r="F3" i="2632" a="1"/>
  <c r="E12" i="2637" a="1"/>
  <c r="F4" i="2637" a="1"/>
  <c r="D4" i="2636" l="1"/>
  <c r="C4" i="2636"/>
  <c r="A35" i="2636" s="1"/>
  <c r="E14" i="2637"/>
  <c r="A66" i="2637" s="1"/>
  <c r="F14" i="2637"/>
  <c r="E12" i="2637"/>
  <c r="A64" i="2637" s="1"/>
  <c r="F4" i="2637"/>
  <c r="F6" i="2637"/>
  <c r="F12" i="2637"/>
  <c r="E8" i="2637"/>
  <c r="A60" i="2637" s="1"/>
  <c r="F8" i="2637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F13" i="2637"/>
  <c r="E4" i="2637"/>
  <c r="A56" i="2637" s="1"/>
  <c r="F5" i="2637"/>
  <c r="F9" i="2637"/>
  <c r="F11" i="2637"/>
  <c r="D5" i="2637"/>
  <c r="C5" i="2637"/>
  <c r="A51" i="2637" s="1"/>
  <c r="C6" i="2637"/>
  <c r="A52" i="2637" s="1"/>
  <c r="C4" i="2637"/>
  <c r="A50" i="2637" s="1"/>
  <c r="D6" i="2637"/>
  <c r="D4" i="2637"/>
  <c r="B12" i="2637"/>
  <c r="A41" i="2637" s="1"/>
  <c r="B12" i="2636"/>
  <c r="A26" i="2636" s="1"/>
  <c r="B12" i="2632"/>
  <c r="A24" i="2632" s="1"/>
  <c r="D3" i="2637"/>
  <c r="B9" i="2637"/>
  <c r="A40" i="2637" s="1"/>
  <c r="E3" i="2637"/>
  <c r="A55" i="2637" s="1"/>
  <c r="F3" i="2637"/>
  <c r="B6" i="2637"/>
  <c r="A72" i="2637" s="1"/>
  <c r="C3" i="2637"/>
  <c r="A49" i="2637" s="1"/>
  <c r="B9" i="2636"/>
  <c r="A25" i="2636" s="1"/>
  <c r="B6" i="2636"/>
  <c r="A44" i="2636" s="1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7" i="2632" l="1"/>
  <c r="A15" i="2636"/>
  <c r="A19" i="2636"/>
  <c r="A23" i="2637"/>
  <c r="A21" i="2637"/>
  <c r="A37" i="2637"/>
  <c r="A36" i="2637"/>
  <c r="A32" i="2637"/>
  <c r="A35" i="2637"/>
  <c r="A34" i="2637"/>
  <c r="A33" i="2637"/>
  <c r="A30" i="2637"/>
  <c r="A31" i="2637"/>
  <c r="A28" i="2637"/>
  <c r="A29" i="2637"/>
  <c r="A27" i="2637"/>
  <c r="A16" i="2637"/>
  <c r="A22" i="2637"/>
  <c r="A17" i="2637"/>
  <c r="A15" i="2637"/>
  <c r="A11" i="2637"/>
  <c r="A20" i="2637"/>
  <c r="A14" i="2637"/>
  <c r="A26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C3" i="2632" a="1"/>
  <c r="C3" i="2632" l="1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<sst xmlns="http://schemas.openxmlformats.org/spreadsheetml/2006/main" count="232" uniqueCount="105">
  <si>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</si>
  <si>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</si>
  <si>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</si>
  <si>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</si>
  <si>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</si>
  <si>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</si>
  <si>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</si>
  <si>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</si>
  <si>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</si>
  <si>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</si>
  <si>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</si>
  <si>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</si>
  <si>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</si>
  <si>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</si>
  <si>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</si>
  <si>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</si>
  <si>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</si>
  <si>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</si>
  <si>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</si>
  <si>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</si>
  <si>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</si>
  <si>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</si>
  <si>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</si>
  <si>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</si>
  <si>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</si>
  <si>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</si>
  <si>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</si>
  <si>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</si>
  <si>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</si>
  <si>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</si>
  <si>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</si>
  <si>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</si>
  <si>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</si>
  <si>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</si>
  <si>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</si>
  <si>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</si>
  <si>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</si>
  <si>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</si>
  <si>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</si>
  <si>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</si>
  <si>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</si>
  <si>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</si>
  <si>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</si>
  <si>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</si>
  <si>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</si>
  <si>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</si>
  <si>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</si>
  <si>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</si>
  <si>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</si>
  <si>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</si>
  <si>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</si>
  <si>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</si>
  <si>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</si>
  <si>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</si>
  <si>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Circle-Model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</si>
  <si>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</si>
  <si>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</si>
  <si>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</si>
  <si>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</si>
  <si>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</si>
  <si>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</si>
  <si>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</si>
  <si>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</si>
  <si>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</si>
  <si>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</si>
  <si>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</si>
  <si>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</si>
  <si>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</si>
  <si>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</si>
  <si>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</si>
  <si>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</si>
  <si>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</si>
  <si>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</si>
  <si>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</si>
  <si>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</si>
  <si>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</si>
  <si>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</si>
  <si>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</si>
  <si>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</si>
  <si>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</si>
  <si>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</si>
  <si>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</si>
  <si>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</si>
  <si>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Rectangle-Model</t>
  </si>
  <si>
    <t>Trapezoid-Model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</si>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</sst>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1" fillId="0" borderId="0" xfId="0" applyFont="1" applyBorder="1"/>
    <xf numFmtId="0" fontId="1" fillId="0" borderId="0" xfId="0" applyFont="1" applyAlignment="1">
      <alignment horizontal="center" vertical="center" wrapText="1"/>
    </xf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" fillId="0" borderId="16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6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4" borderId="19" xfId="0" applyFill="1" applyBorder="1"/>
    <xf numFmtId="0" fontId="0" fillId="2" borderId="19" xfId="0" applyFill="1" applyBorder="1"/>
    <xf numFmtId="0" fontId="0" fillId="5" borderId="20" xfId="0" applyFill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6" borderId="1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2" borderId="0" xfId="0" applyFill="1" applyBorder="1"/>
    <xf numFmtId="0" fontId="0" fillId="5" borderId="17" xfId="0" applyFill="1" applyBorder="1" applyAlignment="1">
      <alignment horizontal="center"/>
    </xf>
    <xf numFmtId="0" fontId="0" fillId="0" borderId="18" xfId="0" applyBorder="1"/>
    <xf numFmtId="0" fontId="0" fillId="4" borderId="19" xfId="0" applyFill="1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4" borderId="0" xfId="0" applyFill="1" applyBorder="1"/>
    <xf numFmtId="0" fontId="0" fillId="0" borderId="16" xfId="0" applyBorder="1"/>
    <xf numFmtId="0" fontId="1" fillId="0" borderId="16" xfId="0" applyFont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/>
    </xf>
    <xf numFmtId="0" fontId="0" fillId="5" borderId="16" xfId="0" applyFill="1" applyBorder="1"/>
    <xf numFmtId="0" fontId="4" fillId="0" borderId="18" xfId="0" applyFont="1" applyBorder="1" applyAlignment="1">
      <alignment vertic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1" fillId="0" borderId="15" xfId="0" applyFont="1" applyBorder="1" applyAlignment="1">
      <alignment horizontal="left" wrapText="1"/>
    </xf>
    <xf numFmtId="0" fontId="0" fillId="5" borderId="17" xfId="0" applyFill="1" applyBorder="1" applyAlignment="1">
      <alignment horizontal="left" wrapText="1"/>
    </xf>
    <xf numFmtId="0" fontId="0" fillId="5" borderId="20" xfId="0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Fill="1" applyAlignment="1">
      <alignment horizontal="left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66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67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94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D4" sqref="D4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95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94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7"/>
  <sheetViews>
    <sheetView workbookViewId="0">
      <selection activeCell="C16" sqref="C16:F16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0.75" customHeight="1" x14ac:dyDescent="0.25">
      <c r="A2" s="31">
        <v>1</v>
      </c>
      <c r="B2" s="22" t="s">
        <v>85</v>
      </c>
      <c r="C2" s="24" t="s">
        <v>56</v>
      </c>
      <c r="D2" s="25" t="s">
        <v>96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57</v>
      </c>
      <c r="D3" s="25" t="s">
        <v>97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60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58</v>
      </c>
      <c r="D4" s="25" t="s">
        <v>98</v>
      </c>
      <c r="E4" s="27"/>
      <c r="F4" s="27"/>
      <c r="G4" s="37" t="s">
        <v>61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59</v>
      </c>
      <c r="D5" s="25" t="s">
        <v>98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63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64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65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71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72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73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74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75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24" t="s">
        <v>56</v>
      </c>
      <c r="D16" s="24" t="s">
        <v>57</v>
      </c>
      <c r="E16" s="24" t="s">
        <v>58</v>
      </c>
      <c r="F16" s="24" t="s">
        <v>59</v>
      </c>
      <c r="G16" s="27"/>
      <c r="H16" s="40"/>
      <c r="I16" s="27"/>
    </row>
    <row r="17" spans="1:9" x14ac:dyDescent="0.25">
      <c r="A17" s="31"/>
      <c r="B17" s="31"/>
      <c r="C17" s="31"/>
      <c r="D17" s="31"/>
      <c r="E17" s="27"/>
      <c r="F17" s="27"/>
      <c r="G17" s="27"/>
      <c r="I17" s="27"/>
    </row>
    <row r="18" spans="1:9" x14ac:dyDescent="0.25">
      <c r="A18" s="31"/>
      <c r="B18" s="31"/>
      <c r="C18" s="31"/>
      <c r="D18" s="35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  <row r="27" spans="1:9" x14ac:dyDescent="0.25">
      <c r="A27" s="31"/>
      <c r="B27" s="31"/>
      <c r="C27" s="31"/>
      <c r="D27" s="31"/>
      <c r="E27" s="27"/>
      <c r="F27" s="27"/>
      <c r="G27" s="27"/>
      <c r="I27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tabSelected="1" workbookViewId="0">
      <selection activeCell="B3" sqref="B3"/>
    </sheetView>
  </sheetViews>
  <sheetFormatPr baseColWidth="10" defaultRowHeight="15" x14ac:dyDescent="0.25"/>
  <cols>
    <col min="1" max="1" width="71.7109375" customWidth="1"/>
    <col min="2" max="2" width="28" bestFit="1" customWidth="1"/>
    <col min="3" max="3" width="16.7109375" customWidth="1"/>
    <col min="5" max="5" width="19.85546875" customWidth="1"/>
    <col min="6" max="6" width="32.42578125" style="43" customWidth="1"/>
  </cols>
  <sheetData>
    <row r="1" spans="1:6" s="46" customFormat="1" ht="33" customHeight="1" thickBot="1" x14ac:dyDescent="0.3">
      <c r="A1" s="50" t="s">
        <v>82</v>
      </c>
      <c r="B1" s="59" t="s">
        <v>81</v>
      </c>
      <c r="C1" s="60"/>
      <c r="D1" s="61"/>
      <c r="E1" s="61"/>
      <c r="F1" s="62"/>
    </row>
    <row r="2" spans="1:6" x14ac:dyDescent="0.25">
      <c r="A2" t="s">
        <v>38</v>
      </c>
      <c r="B2" s="51" t="s">
        <v>55</v>
      </c>
      <c r="C2" s="52" t="s">
        <v>0</v>
      </c>
      <c r="D2" s="52" t="s">
        <v>76</v>
      </c>
      <c r="E2" s="52" t="s">
        <v>24</v>
      </c>
      <c r="F2" s="53" t="s">
        <v>79</v>
      </c>
    </row>
    <row r="3" spans="1:6" ht="15.75" thickBot="1" x14ac:dyDescent="0.3">
      <c r="A3" t="s">
        <v>39</v>
      </c>
      <c r="B3" s="54" t="s">
        <v>54</v>
      </c>
      <c r="C3" s="55" t="str" cm="1">
        <f t="array" aca="1" ref="C3" ca="1">INDIRECT("'" &amp; $B$3 &amp; "'!c"&amp;ROW(B3)-1)</f>
        <v>Radius</v>
      </c>
      <c r="D3" s="56" t="str" cm="1">
        <f t="array" aca="1" ref="D3" ca="1">INDIRECT("'" &amp; $B$3 &amp; "'!d"&amp;ROW(C3)-1)</f>
        <v>10.0</v>
      </c>
      <c r="E3" s="57" t="str" cm="1">
        <f t="array" aca="1" ref="E3" ca="1">INDIRECT("'" &amp; $B$3 &amp; "'!g"&amp;ROW(D3)-1)</f>
        <v>Diameter</v>
      </c>
      <c r="F3" s="58" t="str" cm="1">
        <f t="array" aca="1" ref="F3" ca="1">INDIRECT("'" &amp; $B$3 &amp; "'!i"&amp;ROW(E3)-1)</f>
        <v>2 * Radius</v>
      </c>
    </row>
    <row r="4" spans="1:6" x14ac:dyDescent="0.25">
      <c r="A4" t="s">
        <v>40</v>
      </c>
    </row>
    <row r="5" spans="1:6" x14ac:dyDescent="0.25">
      <c r="A5" t="s">
        <v>41</v>
      </c>
      <c r="B5" s="41" t="s">
        <v>80</v>
      </c>
      <c r="D5" s="1"/>
    </row>
    <row r="6" spans="1:6" x14ac:dyDescent="0.25">
      <c r="A6" t="s">
        <v>38</v>
      </c>
      <c r="B6" s="45" t="str" cm="1">
        <f t="array" aca="1" ref="B6" ca="1">INDIRECT("'" &amp; $B$3 &amp; "'!b2")</f>
        <v>Circle</v>
      </c>
    </row>
    <row r="7" spans="1:6" x14ac:dyDescent="0.25">
      <c r="A7" t="str">
        <f ca="1">"namespace PolygonTest"&amp;B6</f>
        <v>namespace PolygonTestCircle</v>
      </c>
      <c r="D7" s="1"/>
    </row>
    <row r="8" spans="1:6" x14ac:dyDescent="0.25">
      <c r="A8" t="s">
        <v>42</v>
      </c>
      <c r="B8" s="41" t="s">
        <v>77</v>
      </c>
    </row>
    <row r="9" spans="1:6" x14ac:dyDescent="0.25">
      <c r="A9" t="s">
        <v>43</v>
      </c>
      <c r="B9" s="42" t="str" cm="1">
        <f t="array" aca="1" ref="B9" ca="1">INDIRECT("'" &amp; $B$3 &amp; "'!e3")</f>
        <v>Math.PI * Math.Pow(Radius,2)</v>
      </c>
      <c r="C9" s="1"/>
    </row>
    <row r="10" spans="1:6" x14ac:dyDescent="0.25">
      <c r="A10" t="s">
        <v>44</v>
      </c>
    </row>
    <row r="11" spans="1:6" x14ac:dyDescent="0.25">
      <c r="A11" s="7" t="str">
        <f ca="1">"    public sealed class "&amp;B6&amp;"Polygon"</f>
        <v xml:space="preserve">    public sealed class CirclePolygon</v>
      </c>
      <c r="B11" s="41" t="s">
        <v>78</v>
      </c>
      <c r="C11" s="1"/>
      <c r="D11" s="1"/>
    </row>
    <row r="12" spans="1:6" x14ac:dyDescent="0.25">
      <c r="A12" t="s">
        <v>45</v>
      </c>
      <c r="B12" s="42" t="str" cm="1">
        <f t="array" aca="1" ref="B12" ca="1">INDIRECT("'" &amp; $B$3 &amp; "'!f3")</f>
        <v>2 * Math.PI * Radius</v>
      </c>
      <c r="D12" s="1"/>
    </row>
    <row r="13" spans="1:6" s="1" customFormat="1" x14ac:dyDescent="0.25">
      <c r="A13" s="1" t="s">
        <v>89</v>
      </c>
      <c r="C13"/>
      <c r="F13" s="43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47" t="s">
        <v>99</v>
      </c>
      <c r="C14" s="1"/>
    </row>
    <row r="15" spans="1:6" s="1" customFormat="1" x14ac:dyDescent="0.25">
      <c r="B15" s="47" t="s">
        <v>100</v>
      </c>
      <c r="D15"/>
      <c r="F15" s="43"/>
    </row>
    <row r="16" spans="1:6" x14ac:dyDescent="0.25">
      <c r="A16" s="1" t="s">
        <v>90</v>
      </c>
      <c r="B16" s="47" t="s">
        <v>104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47" t="s">
        <v>102</v>
      </c>
    </row>
    <row r="18" spans="1:6" x14ac:dyDescent="0.25">
      <c r="A18" t="s">
        <v>46</v>
      </c>
      <c r="B18" s="47" t="s">
        <v>103</v>
      </c>
    </row>
    <row r="19" spans="1:6" s="1" customFormat="1" x14ac:dyDescent="0.25">
      <c r="A19" s="1" t="s">
        <v>91</v>
      </c>
      <c r="C19"/>
      <c r="D19"/>
      <c r="F19" s="43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48"/>
      <c r="F20" s="43"/>
    </row>
    <row r="21" spans="1:6" s="1" customFormat="1" x14ac:dyDescent="0.25">
      <c r="C21"/>
      <c r="D21"/>
      <c r="F21" s="43"/>
    </row>
    <row r="22" spans="1:6" x14ac:dyDescent="0.25">
      <c r="A22" t="s">
        <v>87</v>
      </c>
      <c r="D22" s="48"/>
    </row>
    <row r="23" spans="1:6" x14ac:dyDescent="0.25">
      <c r="A23" s="42" t="str">
        <f ca="1">"        public double Area { get { return "&amp;B9&amp;"; } }"</f>
        <v xml:space="preserve">        public double Area { get { return Math.PI * Math.Pow(Radius,2); } }</v>
      </c>
      <c r="C23" s="48"/>
      <c r="D23" s="48"/>
    </row>
    <row r="24" spans="1:6" x14ac:dyDescent="0.25">
      <c r="A24" s="42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48"/>
      <c r="D25" s="1"/>
    </row>
    <row r="26" spans="1:6" x14ac:dyDescent="0.25">
      <c r="A26" t="s">
        <v>48</v>
      </c>
      <c r="C26" s="48"/>
      <c r="D26" s="48"/>
    </row>
    <row r="27" spans="1:6" x14ac:dyDescent="0.25">
      <c r="A27" t="s">
        <v>1</v>
      </c>
    </row>
    <row r="28" spans="1:6" s="48" customFormat="1" x14ac:dyDescent="0.25">
      <c r="A28" s="48" t="s">
        <v>88</v>
      </c>
      <c r="C28" s="1"/>
      <c r="D28"/>
      <c r="F28" s="49"/>
    </row>
    <row r="29" spans="1:6" x14ac:dyDescent="0.25">
      <c r="A29" s="7" t="str">
        <f ca="1">"            var result = string.Format(""The "&amp;B6&amp;" object:\r\n   Area = {0}\r\n   Perimeter = {1}"", this.Area, this.Perimeter);"</f>
        <v xml:space="preserve">            var result = string.Format("The Circle object:\r\n   Area = {0}\r\n   Perimeter = {1}", this.Area, this.Perimeter);</v>
      </c>
      <c r="B29" s="48"/>
      <c r="C29" s="48"/>
    </row>
    <row r="30" spans="1:6" s="48" customFormat="1" x14ac:dyDescent="0.25">
      <c r="A30" s="48" t="s">
        <v>86</v>
      </c>
      <c r="C30"/>
      <c r="D30"/>
      <c r="F30" s="49"/>
    </row>
    <row r="31" spans="1:6" s="48" customFormat="1" x14ac:dyDescent="0.25">
      <c r="A31" s="48" t="str">
        <f>"            result += ""\r\n--------\r\n Main attributes:"";"</f>
        <v xml:space="preserve">            result += "\r\n--------\r\n Main attributes:";</v>
      </c>
      <c r="C31"/>
      <c r="D31"/>
      <c r="F31" s="49"/>
    </row>
    <row r="32" spans="1:6" x14ac:dyDescent="0.25">
      <c r="A32" s="6" t="str">
        <f ca="1">"            result += string.Format(""\r\n   "&amp;C3&amp;" = {0}"", this."&amp;C3&amp;");"</f>
        <v xml:space="preserve">            result += string.Format("\r\n   Radius = {0}", this.Radius);</v>
      </c>
    </row>
    <row r="33" spans="1:6" s="1" customFormat="1" x14ac:dyDescent="0.25">
      <c r="A33" s="48" t="s">
        <v>93</v>
      </c>
      <c r="C33"/>
      <c r="D33"/>
      <c r="F33" s="43"/>
    </row>
    <row r="34" spans="1:6" s="48" customFormat="1" x14ac:dyDescent="0.25">
      <c r="A34" s="48" t="str">
        <f>"            result += ""\r\n--------\r\n Derived attributes:"";"</f>
        <v xml:space="preserve">            result += "\r\n--------\r\n Derived attributes:";</v>
      </c>
      <c r="C34"/>
      <c r="D34"/>
      <c r="F34" s="49"/>
    </row>
    <row r="35" spans="1:6" x14ac:dyDescent="0.25">
      <c r="A35" s="6" t="str">
        <f ca="1">"            result += string.Format(""\r\n   "&amp;E3&amp;" = {0}"", this."&amp;E3&amp;");"</f>
        <v xml:space="preserve">            result += string.Format("\r\n   Diameter = {0}", this.Diameter);</v>
      </c>
    </row>
    <row r="36" spans="1:6" x14ac:dyDescent="0.25">
      <c r="A36" t="s">
        <v>49</v>
      </c>
      <c r="C36" s="1"/>
    </row>
    <row r="37" spans="1:6" x14ac:dyDescent="0.25">
      <c r="A37" t="s">
        <v>2</v>
      </c>
    </row>
    <row r="38" spans="1:6" x14ac:dyDescent="0.25">
      <c r="A38" t="s">
        <v>47</v>
      </c>
    </row>
    <row r="39" spans="1:6" x14ac:dyDescent="0.25">
      <c r="A39" t="s">
        <v>50</v>
      </c>
    </row>
    <row r="40" spans="1:6" x14ac:dyDescent="0.25">
      <c r="A40" t="s">
        <v>1</v>
      </c>
    </row>
    <row r="41" spans="1:6" x14ac:dyDescent="0.25">
      <c r="A41" s="7" t="str">
        <f ca="1">"            var polygon = new "&amp;B6&amp;"Polygon();"</f>
        <v xml:space="preserve">            var polygon = new CirclePolygon();</v>
      </c>
    </row>
    <row r="42" spans="1:6" x14ac:dyDescent="0.25">
      <c r="A42" s="1"/>
    </row>
    <row r="43" spans="1:6" x14ac:dyDescent="0.25">
      <c r="A43" t="s">
        <v>92</v>
      </c>
    </row>
    <row r="44" spans="1:6" x14ac:dyDescent="0.25">
      <c r="A44" t="s">
        <v>2</v>
      </c>
    </row>
    <row r="45" spans="1:6" x14ac:dyDescent="0.25">
      <c r="A45" t="s">
        <v>51</v>
      </c>
    </row>
    <row r="46" spans="1:6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workbookViewId="0">
      <selection activeCell="D31" sqref="D31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53" style="43" bestFit="1" customWidth="1"/>
    <col min="7" max="16384" width="11.42578125" style="1"/>
  </cols>
  <sheetData>
    <row r="1" spans="1:6" s="46" customFormat="1" ht="33" customHeight="1" thickBot="1" x14ac:dyDescent="0.3">
      <c r="A1" s="50" t="s">
        <v>82</v>
      </c>
      <c r="B1" s="59" t="s">
        <v>81</v>
      </c>
      <c r="C1" s="60"/>
      <c r="D1" s="61"/>
      <c r="E1" s="61"/>
      <c r="F1" s="62"/>
    </row>
    <row r="2" spans="1:6" x14ac:dyDescent="0.25">
      <c r="A2" s="1" t="s">
        <v>38</v>
      </c>
      <c r="B2" s="63" t="s">
        <v>55</v>
      </c>
      <c r="C2" s="64" t="s">
        <v>0</v>
      </c>
      <c r="D2" s="64" t="s">
        <v>76</v>
      </c>
      <c r="E2" s="64" t="s">
        <v>24</v>
      </c>
      <c r="F2" s="65" t="s">
        <v>79</v>
      </c>
    </row>
    <row r="3" spans="1:6" x14ac:dyDescent="0.25">
      <c r="A3" s="1" t="s">
        <v>39</v>
      </c>
      <c r="B3" s="66" t="s">
        <v>83</v>
      </c>
      <c r="C3" s="67" t="str" cm="1">
        <f t="array" aca="1" ref="C3" ca="1">INDIRECT("'" &amp; $B$3 &amp; "'!c"&amp;ROW(B3)-1)</f>
        <v>Width</v>
      </c>
      <c r="D3" s="68" t="str" cm="1">
        <f t="array" aca="1" ref="D3" ca="1">INDIRECT("'" &amp; $B$3 &amp; "'!d"&amp;ROW(C3)-1)</f>
        <v>15.0</v>
      </c>
      <c r="E3" s="69" t="str" cm="1">
        <f t="array" aca="1" ref="E3" ca="1">INDIRECT("'" &amp; $B$3 &amp; "'!g"&amp;ROW(D3)-1)</f>
        <v>Diagonal</v>
      </c>
      <c r="F3" s="70" t="str" cm="1">
        <f t="array" aca="1" ref="F3" ca="1">INDIRECT("'" &amp; $B$3 &amp; "'!i"&amp;ROW(E3)-1)</f>
        <v>Math.Sqrt(Math.Pow(Width,2.0)  + Math.Pow(Height,2.0))</v>
      </c>
    </row>
    <row r="4" spans="1:6" ht="15.75" thickBot="1" x14ac:dyDescent="0.3">
      <c r="A4" s="1" t="s">
        <v>40</v>
      </c>
      <c r="B4" s="71"/>
      <c r="C4" s="55" t="str" cm="1">
        <f t="array" aca="1" ref="C4" ca="1">INDIRECT("'" &amp; $B$3 &amp; "'!c"&amp;ROW(B4)-1)</f>
        <v>Height</v>
      </c>
      <c r="D4" s="72" t="str" cm="1">
        <f t="array" aca="1" ref="D4" ca="1">INDIRECT("'" &amp; $B$3 &amp; "'!d"&amp;ROW(C4)-1)</f>
        <v>10.0</v>
      </c>
      <c r="E4" s="73"/>
      <c r="F4" s="74"/>
    </row>
    <row r="5" spans="1:6" x14ac:dyDescent="0.25">
      <c r="A5" s="1" t="s">
        <v>41</v>
      </c>
      <c r="B5" s="41" t="s">
        <v>80</v>
      </c>
    </row>
    <row r="6" spans="1:6" x14ac:dyDescent="0.25">
      <c r="A6" s="1" t="s">
        <v>38</v>
      </c>
      <c r="B6" s="45" t="str" cm="1">
        <f t="array" aca="1" ref="B6" ca="1">INDIRECT("'" &amp; $B$3 &amp; "'!b2")</f>
        <v>Rectangle</v>
      </c>
    </row>
    <row r="7" spans="1:6" x14ac:dyDescent="0.25">
      <c r="A7" s="1" t="s">
        <v>53</v>
      </c>
    </row>
    <row r="8" spans="1:6" x14ac:dyDescent="0.25">
      <c r="A8" s="1" t="s">
        <v>42</v>
      </c>
      <c r="B8" s="41" t="s">
        <v>77</v>
      </c>
    </row>
    <row r="9" spans="1:6" x14ac:dyDescent="0.25">
      <c r="A9" s="1" t="s">
        <v>43</v>
      </c>
      <c r="B9" s="42" t="str" cm="1">
        <f t="array" aca="1" ref="B9" ca="1">INDIRECT("'" &amp; $B$3 &amp; "'!e3")</f>
        <v>Width * Height</v>
      </c>
    </row>
    <row r="10" spans="1:6" x14ac:dyDescent="0.25">
      <c r="A10" s="1" t="s">
        <v>44</v>
      </c>
    </row>
    <row r="11" spans="1:6" x14ac:dyDescent="0.25">
      <c r="A11" s="7" t="str">
        <f ca="1">"    public sealed class "&amp;B6&amp;"Polygon"</f>
        <v xml:space="preserve">    public sealed class RectanglePolygon</v>
      </c>
      <c r="B11" s="41" t="s">
        <v>78</v>
      </c>
    </row>
    <row r="12" spans="1:6" x14ac:dyDescent="0.25">
      <c r="A12" s="1" t="s">
        <v>45</v>
      </c>
      <c r="B12" s="42" t="str" cm="1">
        <f t="array" aca="1" ref="B12" ca="1">INDIRECT("'" &amp; $B$3 &amp; "'!f3")</f>
        <v xml:space="preserve"> 2 * Width + 2 * Height</v>
      </c>
    </row>
    <row r="13" spans="1:6" x14ac:dyDescent="0.25">
      <c r="A13" s="1" t="s">
        <v>89</v>
      </c>
    </row>
    <row r="14" spans="1:6" x14ac:dyDescent="0.25">
      <c r="A14" s="6" t="str">
        <f ca="1">"        private double m_"&amp;C3&amp;" = "&amp;D3&amp;";"</f>
        <v xml:space="preserve">        private double m_Width = 15.0;</v>
      </c>
      <c r="B14" s="47" t="s">
        <v>99</v>
      </c>
    </row>
    <row r="15" spans="1:6" x14ac:dyDescent="0.25">
      <c r="A15" s="6" t="str">
        <f ca="1">"        private double m_"&amp;C4&amp;" = "&amp;D4&amp;";"</f>
        <v xml:space="preserve">        private double m_Height = 10.0;</v>
      </c>
      <c r="B15" s="47" t="s">
        <v>100</v>
      </c>
    </row>
    <row r="16" spans="1:6" x14ac:dyDescent="0.25">
      <c r="B16" s="47" t="s">
        <v>101</v>
      </c>
    </row>
    <row r="17" spans="1:6" x14ac:dyDescent="0.25">
      <c r="A17" s="1" t="s">
        <v>90</v>
      </c>
      <c r="B17" s="47" t="s">
        <v>102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47" t="s">
        <v>103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91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87</v>
      </c>
    </row>
    <row r="25" spans="1:6" x14ac:dyDescent="0.25">
      <c r="A25" s="42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2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48"/>
    </row>
    <row r="28" spans="1:6" s="48" customFormat="1" x14ac:dyDescent="0.25">
      <c r="A28" s="1" t="s">
        <v>48</v>
      </c>
      <c r="C28" s="1"/>
      <c r="D28" s="1"/>
      <c r="F28" s="49"/>
    </row>
    <row r="29" spans="1:6" x14ac:dyDescent="0.25">
      <c r="A29" s="1" t="s">
        <v>1</v>
      </c>
      <c r="B29" s="48"/>
      <c r="C29" s="48"/>
      <c r="D29" s="48"/>
    </row>
    <row r="30" spans="1:6" s="48" customFormat="1" x14ac:dyDescent="0.25">
      <c r="A30" s="48" t="s">
        <v>88</v>
      </c>
      <c r="C30" s="1"/>
      <c r="F30" s="49"/>
    </row>
    <row r="31" spans="1:6" s="48" customFormat="1" x14ac:dyDescent="0.25">
      <c r="A31" s="7" t="str">
        <f>"            var result = string.Format(""The "&amp;B8&amp;" object:\r\n   Area = {0}\r\n   Perimeter = {1}"", this.Area, this.Perimeter);"</f>
        <v xml:space="preserve">            var result = string.Format("The Area Formula  object:\r\n   Area = {0}\r\n   Perimeter = {1}", this.Area, this.Perimeter);</v>
      </c>
      <c r="D31" s="1"/>
      <c r="F31" s="49"/>
    </row>
    <row r="32" spans="1:6" x14ac:dyDescent="0.25">
      <c r="A32" s="48" t="s">
        <v>86</v>
      </c>
      <c r="C32" s="48"/>
    </row>
    <row r="33" spans="1:6" x14ac:dyDescent="0.25">
      <c r="A33" s="48" t="str">
        <f>"            result += ""\r\n--------\r\n Main attributes:"";"</f>
        <v xml:space="preserve">            result += "\r\n--------\r\n Main attributes:";</v>
      </c>
      <c r="D33" s="48"/>
    </row>
    <row r="34" spans="1:6" s="48" customFormat="1" x14ac:dyDescent="0.25">
      <c r="A34" s="6" t="str">
        <f ca="1">"            result += string.Format(""\r\n   "&amp;C3&amp;" = {0}"", this."&amp;C3&amp;");"</f>
        <v xml:space="preserve">            result += string.Format("\r\n   Width = {0}", this.Width);</v>
      </c>
      <c r="C34" s="1"/>
      <c r="D34" s="1"/>
      <c r="F34" s="49"/>
    </row>
    <row r="35" spans="1:6" x14ac:dyDescent="0.25">
      <c r="A35" s="6" t="str">
        <f ca="1">"            result += string.Format(""\r\n   "&amp;C4&amp;" = {0}"", this."&amp;C4&amp;");"</f>
        <v xml:space="preserve">            result += string.Format("\r\n   Height = {0}", this.Height);</v>
      </c>
      <c r="C35" s="48"/>
    </row>
    <row r="36" spans="1:6" x14ac:dyDescent="0.25">
      <c r="A36" s="48" t="s">
        <v>93</v>
      </c>
    </row>
    <row r="37" spans="1:6" x14ac:dyDescent="0.25">
      <c r="A37" s="48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string.Format(""\r\n   "&amp;E3&amp;" = {0}"", this."&amp;E3&amp;");"</f>
        <v xml:space="preserve">            result += string.Format("\r\n   Diagonal = {0}", this.Diagonal);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92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workbookViewId="0">
      <selection activeCell="F4" sqref="F4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22.5703125" style="43" customWidth="1"/>
    <col min="4" max="4" width="11.42578125" style="1"/>
    <col min="5" max="5" width="27" style="1" customWidth="1"/>
    <col min="6" max="6" width="90.7109375" style="86" customWidth="1"/>
    <col min="7" max="16384" width="11.42578125" style="1"/>
  </cols>
  <sheetData>
    <row r="1" spans="1:6" s="46" customFormat="1" ht="33" customHeight="1" thickBot="1" x14ac:dyDescent="0.3">
      <c r="A1" s="50" t="s">
        <v>82</v>
      </c>
      <c r="B1" s="59" t="s">
        <v>81</v>
      </c>
      <c r="C1" s="60"/>
      <c r="D1" s="61"/>
      <c r="E1" s="61"/>
      <c r="F1" s="82"/>
    </row>
    <row r="2" spans="1:6" x14ac:dyDescent="0.25">
      <c r="A2" s="1" t="s">
        <v>38</v>
      </c>
      <c r="B2" s="63" t="s">
        <v>55</v>
      </c>
      <c r="C2" s="64" t="s">
        <v>0</v>
      </c>
      <c r="D2" s="64" t="s">
        <v>76</v>
      </c>
      <c r="E2" s="64" t="s">
        <v>24</v>
      </c>
      <c r="F2" s="83" t="s">
        <v>79</v>
      </c>
    </row>
    <row r="3" spans="1:6" x14ac:dyDescent="0.25">
      <c r="A3" s="1" t="s">
        <v>39</v>
      </c>
      <c r="B3" s="66" t="s">
        <v>84</v>
      </c>
      <c r="C3" s="67" t="str" cm="1">
        <f t="array" aca="1" ref="C3" ca="1">INDIRECT("'" &amp; $B$3 &amp; "'!c"&amp;ROW(B3)-1)</f>
        <v>ShortBase</v>
      </c>
      <c r="D3" s="75" t="str" cm="1">
        <f t="array" aca="1" ref="D3" ca="1">INDIRECT("'" &amp; $B$3 &amp; "'!d"&amp;ROW(C3)-1)</f>
        <v>20.0</v>
      </c>
      <c r="E3" s="69" t="str" cm="1">
        <f t="array" aca="1" ref="E3" ca="1">INDIRECT("'" &amp; $B$3 &amp; "'!g"&amp;ROW(D3)-1)</f>
        <v>MiddleLine</v>
      </c>
      <c r="F3" s="84" t="str" cm="1">
        <f t="array" aca="1" ref="F3" ca="1">INDIRECT("'" &amp; $B$3 &amp; "'!i"&amp;ROW(E3)-1)</f>
        <v xml:space="preserve">(ShortBase + LongBase)/2 </v>
      </c>
    </row>
    <row r="4" spans="1:6" ht="30" x14ac:dyDescent="0.25">
      <c r="A4" s="1" t="s">
        <v>40</v>
      </c>
      <c r="B4" s="76"/>
      <c r="C4" s="67" t="str" cm="1">
        <f t="array" aca="1" ref="C4" ca="1">INDIRECT("'" &amp; $B$3 &amp; "'!c"&amp;ROW(B4)-1)</f>
        <v>LongBase</v>
      </c>
      <c r="D4" s="75" t="str" cm="1">
        <f t="array" aca="1" ref="D4" ca="1">INDIRECT("'" &amp; $B$3 &amp; "'!d"&amp;ROW(C4)-1)</f>
        <v>30.0</v>
      </c>
      <c r="E4" s="69" t="str" cm="1">
        <f t="array" aca="1" ref="E4" ca="1">INDIRECT("'" &amp; $B$3 &amp; "'!g"&amp;ROW(D4)-1)</f>
        <v>RightSmallBase</v>
      </c>
      <c r="F4" s="84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ht="30" x14ac:dyDescent="0.25">
      <c r="A5" s="1" t="s">
        <v>41</v>
      </c>
      <c r="B5" s="77" t="s">
        <v>80</v>
      </c>
      <c r="C5" s="67" t="str" cm="1">
        <f t="array" aca="1" ref="C5" ca="1">INDIRECT("'" &amp; $B$3 &amp; "'!c"&amp;ROW(B5)-1)</f>
        <v>LeftLeg</v>
      </c>
      <c r="D5" s="75" t="str" cm="1">
        <f t="array" aca="1" ref="D5" ca="1">INDIRECT("'" &amp; $B$3 &amp; "'!d"&amp;ROW(C5)-1)</f>
        <v>13.0</v>
      </c>
      <c r="E5" s="69" t="str" cm="1">
        <f t="array" aca="1" ref="E5" ca="1">INDIRECT("'" &amp; $B$3 &amp; "'!g"&amp;ROW(D5)-1)</f>
        <v>LeftSmallBase</v>
      </c>
      <c r="F5" s="84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1" t="s">
        <v>38</v>
      </c>
      <c r="B6" s="78" t="str" cm="1">
        <f t="array" aca="1" ref="B6" ca="1">INDIRECT("'" &amp; $B$3 &amp; "'!b2")</f>
        <v>Trapezoid</v>
      </c>
      <c r="C6" s="67" t="str" cm="1">
        <f t="array" aca="1" ref="C6" ca="1">INDIRECT("'" &amp; $B$3 &amp; "'!c"&amp;ROW(B6)-1)</f>
        <v>RightLeg</v>
      </c>
      <c r="D6" s="75" t="str" cm="1">
        <f t="array" aca="1" ref="D6" ca="1">INDIRECT("'" &amp; $B$3 &amp; "'!d"&amp;ROW(C6)-1)</f>
        <v>13.0</v>
      </c>
      <c r="E6" s="69" t="str" cm="1">
        <f t="array" aca="1" ref="E6" ca="1">INDIRECT("'" &amp; $B$3 &amp; "'!g"&amp;ROW(D6)-1)</f>
        <v>Height</v>
      </c>
      <c r="F6" s="84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1" t="s">
        <v>53</v>
      </c>
      <c r="B7" s="76"/>
      <c r="C7" s="8"/>
      <c r="D7" s="4"/>
      <c r="E7" s="69" t="str" cm="1">
        <f t="array" aca="1" ref="E7" ca="1">INDIRECT("'" &amp; $B$3 &amp; "'!g"&amp;ROW(D7)-1)</f>
        <v>LeftRadianAngle_LongBase</v>
      </c>
      <c r="F7" s="84" t="str" cm="1">
        <f t="array" aca="1" ref="F7" ca="1">INDIRECT("'" &amp; $B$3 &amp; "'!i"&amp;ROW(E7)-1)</f>
        <v>Math.Round(Math.Asin(Height/LeftLeg),4)</v>
      </c>
    </row>
    <row r="8" spans="1:6" x14ac:dyDescent="0.25">
      <c r="A8" s="1" t="s">
        <v>42</v>
      </c>
      <c r="B8" s="77" t="s">
        <v>77</v>
      </c>
      <c r="C8" s="8"/>
      <c r="D8" s="4"/>
      <c r="E8" s="69" t="str" cm="1">
        <f t="array" aca="1" ref="E8" ca="1">INDIRECT("'" &amp; $B$3 &amp; "'!g"&amp;ROW(D8)-1)</f>
        <v>RightRadianAngle_LongBase</v>
      </c>
      <c r="F8" s="84" t="str" cm="1">
        <f t="array" aca="1" ref="F8" ca="1">INDIRECT("'" &amp; $B$3 &amp; "'!i"&amp;ROW(E8)-1)</f>
        <v>Math.Round(Math.Asin(Height/RightLeg),4)</v>
      </c>
    </row>
    <row r="9" spans="1:6" x14ac:dyDescent="0.25">
      <c r="A9" s="1" t="s">
        <v>43</v>
      </c>
      <c r="B9" s="79" t="str" cm="1">
        <f t="array" aca="1" ref="B9" ca="1">INDIRECT("'" &amp; $B$3 &amp; "'!e3")</f>
        <v>MiddleLine * Height</v>
      </c>
      <c r="C9" s="8"/>
      <c r="D9" s="4"/>
      <c r="E9" s="69" t="str" cm="1">
        <f t="array" aca="1" ref="E9" ca="1">INDIRECT("'" &amp; $B$3 &amp; "'!g"&amp;ROW(D9)-1)</f>
        <v>LeftRadianAngle_ShortBase</v>
      </c>
      <c r="F9" s="84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1" t="s">
        <v>44</v>
      </c>
      <c r="B10" s="76"/>
      <c r="C10" s="8"/>
      <c r="D10" s="4"/>
      <c r="E10" s="69" t="str" cm="1">
        <f t="array" aca="1" ref="E10" ca="1">INDIRECT("'" &amp; $B$3 &amp; "'!g"&amp;ROW(D10)-1)</f>
        <v>RightRadianAngle_ShortBase</v>
      </c>
      <c r="F10" s="84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" t="str">
        <f ca="1">"    public sealed class "&amp;B6&amp;"Polygon"</f>
        <v xml:space="preserve">    public sealed class TrapezoidPolygon</v>
      </c>
      <c r="B11" s="77" t="s">
        <v>78</v>
      </c>
      <c r="C11" s="8"/>
      <c r="D11" s="4"/>
      <c r="E11" s="69" t="str" cm="1">
        <f t="array" aca="1" ref="E11" ca="1">INDIRECT("'" &amp; $B$3 &amp; "'!g"&amp;ROW(D11)-1)</f>
        <v>LeftDegreeAngle_LongBase</v>
      </c>
      <c r="F11" s="84" t="str" cm="1">
        <f t="array" aca="1" ref="F11" ca="1">INDIRECT("'" &amp; $B$3 &amp; "'!i"&amp;ROW(E11)-1)</f>
        <v>LeftRadianAngle_LongBase * 180/Math.PI</v>
      </c>
    </row>
    <row r="12" spans="1:6" x14ac:dyDescent="0.25">
      <c r="A12" s="1" t="s">
        <v>45</v>
      </c>
      <c r="B12" s="79" t="str" cm="1">
        <f t="array" aca="1" ref="B12" ca="1">INDIRECT("'" &amp; $B$3 &amp; "'!f3")</f>
        <v>ShortBase + LongBase + LeftLeg + RightLeg</v>
      </c>
      <c r="C12" s="8"/>
      <c r="D12" s="4"/>
      <c r="E12" s="69" t="str" cm="1">
        <f t="array" aca="1" ref="E12" ca="1">INDIRECT("'" &amp; $B$3 &amp; "'!g"&amp;ROW(D12)-1)</f>
        <v>RightDegreeAngle_LongBase</v>
      </c>
      <c r="F12" s="84" t="str" cm="1">
        <f t="array" aca="1" ref="F12" ca="1">INDIRECT("'" &amp; $B$3 &amp; "'!i"&amp;ROW(E12)-1)</f>
        <v>RightRadianAngle_LongBase * 180/Math.PI</v>
      </c>
    </row>
    <row r="13" spans="1:6" x14ac:dyDescent="0.25">
      <c r="A13" s="1" t="s">
        <v>89</v>
      </c>
      <c r="B13" s="76"/>
      <c r="C13" s="8"/>
      <c r="D13" s="4"/>
      <c r="E13" s="69" t="str" cm="1">
        <f t="array" aca="1" ref="E13" ca="1">INDIRECT("'" &amp; $B$3 &amp; "'!g"&amp;ROW(D13)-1)</f>
        <v>LeftDegreeAngle_ShortBase</v>
      </c>
      <c r="F13" s="84" t="str" cm="1">
        <f t="array" aca="1" ref="F13" ca="1">INDIRECT("'" &amp; $B$3 &amp; "'!i"&amp;ROW(E13)-1)</f>
        <v>LeftRadianAngle_ShortBase * 180/Math.PI</v>
      </c>
    </row>
    <row r="14" spans="1:6" ht="15.75" thickBot="1" x14ac:dyDescent="0.3">
      <c r="A14" s="6" t="str">
        <f ca="1">"        private double m_"&amp;C3&amp;" = "&amp;D3&amp;";"</f>
        <v xml:space="preserve">        private double m_ShortBase = 20.0;</v>
      </c>
      <c r="B14" s="80" t="s">
        <v>99</v>
      </c>
      <c r="C14" s="81"/>
      <c r="D14" s="73"/>
      <c r="E14" s="57" t="str" cm="1">
        <f t="array" aca="1" ref="E14" ca="1">INDIRECT("'" &amp; $B$3 &amp; "'!g"&amp;ROW(D14)-1)</f>
        <v>RightDegreeAngle_ShortBase</v>
      </c>
      <c r="F14" s="85" t="str" cm="1">
        <f t="array" aca="1" ref="F14" ca="1">INDIRECT("'" &amp; $B$3 &amp; "'!i"&amp;ROW(E14)-1)</f>
        <v>RightRadianAngle_ShortBase * 180/Math.PI</v>
      </c>
    </row>
    <row r="15" spans="1:6" x14ac:dyDescent="0.25">
      <c r="A15" s="6" t="str">
        <f ca="1">"        private double m_"&amp;C4&amp;" = "&amp;D4&amp;";"</f>
        <v xml:space="preserve">        private double m_LongBase = 30.0;</v>
      </c>
      <c r="B15" s="47" t="s">
        <v>100</v>
      </c>
    </row>
    <row r="16" spans="1:6" x14ac:dyDescent="0.25">
      <c r="A16" s="6" t="str">
        <f ca="1">"        private double m_"&amp;C5&amp;" = "&amp;D5&amp;";"</f>
        <v xml:space="preserve">        private double m_LeftLeg = 13.0;</v>
      </c>
      <c r="B16" s="47" t="s">
        <v>101</v>
      </c>
    </row>
    <row r="17" spans="1:6" x14ac:dyDescent="0.25">
      <c r="A17" s="6" t="str">
        <f ca="1">"        private double m_"&amp;C6&amp;" = "&amp;D6&amp;";"</f>
        <v xml:space="preserve">        private double m_RightLeg = 13.0;</v>
      </c>
      <c r="B17" s="47" t="s">
        <v>102</v>
      </c>
    </row>
    <row r="18" spans="1:6" x14ac:dyDescent="0.25">
      <c r="B18" s="47" t="s">
        <v>103</v>
      </c>
    </row>
    <row r="19" spans="1:6" x14ac:dyDescent="0.25">
      <c r="A19" s="1" t="s">
        <v>90</v>
      </c>
    </row>
    <row r="20" spans="1:6" x14ac:dyDescent="0.25">
      <c r="A20" s="6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6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6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6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1" t="s">
        <v>46</v>
      </c>
    </row>
    <row r="25" spans="1:6" x14ac:dyDescent="0.25">
      <c r="A25" s="1" t="s">
        <v>91</v>
      </c>
    </row>
    <row r="26" spans="1:6" s="48" customFormat="1" x14ac:dyDescent="0.25">
      <c r="A26" s="6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49"/>
      <c r="F26" s="87"/>
    </row>
    <row r="27" spans="1:6" x14ac:dyDescent="0.25">
      <c r="A27" s="6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48"/>
    </row>
    <row r="28" spans="1:6" s="48" customFormat="1" x14ac:dyDescent="0.25">
      <c r="A28" s="6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49"/>
      <c r="F28" s="87"/>
    </row>
    <row r="29" spans="1:6" s="48" customFormat="1" x14ac:dyDescent="0.25">
      <c r="A29" s="6" t="str">
        <f t="shared" ca="1" si="0"/>
        <v xml:space="preserve">        public double Height { get { return Math.Sqrt(Math.Pow(RightLeg,2.0) - Math.Pow(RightSmallBase,2.0)); }  }</v>
      </c>
      <c r="C29" s="49"/>
      <c r="F29" s="87"/>
    </row>
    <row r="30" spans="1:6" x14ac:dyDescent="0.25">
      <c r="A30" s="6" t="str">
        <f t="shared" ca="1" si="0"/>
        <v xml:space="preserve">        public double LeftRadianAngle_LongBase { get { return Math.Round(Math.Asin(Height/LeftLeg),4); }  }</v>
      </c>
    </row>
    <row r="31" spans="1:6" x14ac:dyDescent="0.25">
      <c r="A31" s="6" t="str">
        <f t="shared" ca="1" si="0"/>
        <v xml:space="preserve">        public double RightRadianAngle_LongBase { get { return Math.Round(Math.Asin(Height/RightLeg),4); }  }</v>
      </c>
    </row>
    <row r="32" spans="1:6" s="48" customFormat="1" x14ac:dyDescent="0.25">
      <c r="A32" s="6" t="str">
        <f t="shared" ca="1" si="0"/>
        <v xml:space="preserve">        public double LeftRadianAngle_ShortBase { get { return Math.Round(Math.PI/2 + Math.Asin( Height/LeftLeg),4); }  }</v>
      </c>
      <c r="C32" s="49"/>
      <c r="F32" s="87"/>
    </row>
    <row r="33" spans="1:1" x14ac:dyDescent="0.25">
      <c r="A33" s="6" t="str">
        <f t="shared" ca="1" si="0"/>
        <v xml:space="preserve">        public double RightRadianAngle_ShortBase { get { return Math.Round(Math.PI/2  + Math.Asin( Height/RightLeg),4); }  }</v>
      </c>
    </row>
    <row r="34" spans="1:1" x14ac:dyDescent="0.25">
      <c r="A34" s="6" t="str">
        <f t="shared" ca="1" si="0"/>
        <v xml:space="preserve">        public double LeftDegreeAngle_LongBase { get { return LeftRadianAngle_LongBase * 180/Math.PI; }  }</v>
      </c>
    </row>
    <row r="35" spans="1:1" x14ac:dyDescent="0.25">
      <c r="A35" s="6" t="str">
        <f t="shared" ca="1" si="0"/>
        <v xml:space="preserve">        public double RightDegreeAngle_LongBase { get { return RightRadianAngle_LongBase * 180/Math.PI; }  }</v>
      </c>
    </row>
    <row r="36" spans="1:1" x14ac:dyDescent="0.25">
      <c r="A36" s="6" t="str">
        <f t="shared" ca="1" si="0"/>
        <v xml:space="preserve">        public double LeftDegreeAngle_ShortBase { get { return LeftRadianAngle_ShortBase * 180/Math.PI; }  }</v>
      </c>
    </row>
    <row r="37" spans="1:1" x14ac:dyDescent="0.25">
      <c r="A37" s="6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1" t="s">
        <v>87</v>
      </c>
    </row>
    <row r="40" spans="1:1" x14ac:dyDescent="0.25">
      <c r="A40" s="42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42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1</v>
      </c>
    </row>
    <row r="45" spans="1:1" x14ac:dyDescent="0.25">
      <c r="A45" s="48" t="s">
        <v>88</v>
      </c>
    </row>
    <row r="46" spans="1:1" x14ac:dyDescent="0.25">
      <c r="A46" s="7" t="str">
        <f>"            var result = string.Format(""The "&amp;B23&amp;" object:\r\n   Area = {0}\r\n   Perimeter = {1}"", this.Area, this.Perimeter);"</f>
        <v xml:space="preserve">            var result = string.Format("The  object:\r\n   Area = {0}\r\n   Perimeter = {1}", this.Area, this.Perimeter);</v>
      </c>
    </row>
    <row r="47" spans="1:1" x14ac:dyDescent="0.25">
      <c r="A47" s="48" t="s">
        <v>86</v>
      </c>
    </row>
    <row r="48" spans="1:1" x14ac:dyDescent="0.25">
      <c r="A48" s="48" t="str">
        <f>"            result += ""\r\n--------\r\n Main attributes:"";"</f>
        <v xml:space="preserve">            result += "\r\n--------\r\n Main attributes:";</v>
      </c>
    </row>
    <row r="49" spans="1:1" x14ac:dyDescent="0.25">
      <c r="A49" s="6" t="str">
        <f ca="1">"            result += string.Format(""\r\n   "&amp;C3&amp;" = {0}"", this."&amp;C3&amp;");"</f>
        <v xml:space="preserve">            result += string.Format("\r\n   ShortBase = {0}", this.ShortBase);</v>
      </c>
    </row>
    <row r="50" spans="1:1" x14ac:dyDescent="0.25">
      <c r="A50" s="6" t="str">
        <f ca="1">"            result += string.Format(""\r\n   "&amp;C4&amp;" = {0}"", this."&amp;C4&amp;");"</f>
        <v xml:space="preserve">            result += string.Format("\r\n   LongBase = {0}", this.LongBase);</v>
      </c>
    </row>
    <row r="51" spans="1:1" x14ac:dyDescent="0.25">
      <c r="A51" s="6" t="str">
        <f ca="1">"            result += string.Format(""\r\n   "&amp;C5&amp;" = {0}"", this."&amp;C5&amp;");"</f>
        <v xml:space="preserve">            result += string.Format("\r\n   LeftLeg = {0}", this.LeftLeg);</v>
      </c>
    </row>
    <row r="52" spans="1:1" x14ac:dyDescent="0.25">
      <c r="A52" s="6" t="str">
        <f ca="1">"            result += string.Format(""\r\n   "&amp;C6&amp;" = {0}"", this."&amp;C6&amp;");"</f>
        <v xml:space="preserve">            result += string.Format("\r\n   RightLeg = {0}", this.RightLeg);</v>
      </c>
    </row>
    <row r="53" spans="1:1" x14ac:dyDescent="0.25">
      <c r="A53" s="48" t="s">
        <v>93</v>
      </c>
    </row>
    <row r="54" spans="1:1" x14ac:dyDescent="0.25">
      <c r="A54" s="48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6" t="str">
        <f t="shared" ref="A55:A66" ca="1" si="1">"            result += string.Format(""\r\n   "&amp;E3&amp;" = {0}"", this."&amp;E3&amp;");"</f>
        <v xml:space="preserve">            result += string.Format("\r\n   MiddleLine = {0}", this.MiddleLine);</v>
      </c>
    </row>
    <row r="56" spans="1:1" x14ac:dyDescent="0.25">
      <c r="A56" s="6" t="str">
        <f t="shared" ca="1" si="1"/>
        <v xml:space="preserve">            result += string.Format("\r\n   RightSmallBase = {0}", this.RightSmallBase);</v>
      </c>
    </row>
    <row r="57" spans="1:1" x14ac:dyDescent="0.25">
      <c r="A57" s="6" t="str">
        <f t="shared" ca="1" si="1"/>
        <v xml:space="preserve">            result += string.Format("\r\n   LeftSmallBase = {0}", this.LeftSmallBase);</v>
      </c>
    </row>
    <row r="58" spans="1:1" x14ac:dyDescent="0.25">
      <c r="A58" s="6" t="str">
        <f t="shared" ca="1" si="1"/>
        <v xml:space="preserve">            result += string.Format("\r\n   Height = {0}", this.Height);</v>
      </c>
    </row>
    <row r="59" spans="1:1" x14ac:dyDescent="0.25">
      <c r="A59" s="6" t="str">
        <f t="shared" ca="1" si="1"/>
        <v xml:space="preserve">            result += string.Format("\r\n   LeftRadianAngle_LongBase = {0}", this.LeftRadianAngle_LongBase);</v>
      </c>
    </row>
    <row r="60" spans="1:1" x14ac:dyDescent="0.25">
      <c r="A60" s="6" t="str">
        <f t="shared" ca="1" si="1"/>
        <v xml:space="preserve">            result += string.Format("\r\n   RightRadianAngle_LongBase = {0}", this.RightRadianAngle_LongBase);</v>
      </c>
    </row>
    <row r="61" spans="1:1" x14ac:dyDescent="0.25">
      <c r="A61" s="6" t="str">
        <f t="shared" ca="1" si="1"/>
        <v xml:space="preserve">            result += string.Format("\r\n   LeftRadianAngle_ShortBase = {0}", this.LeftRadianAngle_ShortBase);</v>
      </c>
    </row>
    <row r="62" spans="1:1" x14ac:dyDescent="0.25">
      <c r="A62" s="6" t="str">
        <f t="shared" ca="1" si="1"/>
        <v xml:space="preserve">            result += string.Format("\r\n   RightRadianAngle_ShortBase = {0}", this.RightRadianAngle_ShortBase);</v>
      </c>
    </row>
    <row r="63" spans="1:1" x14ac:dyDescent="0.25">
      <c r="A63" s="6" t="str">
        <f t="shared" ca="1" si="1"/>
        <v xml:space="preserve">            result += string.Format("\r\n   LeftDegreeAngle_LongBase = {0}", this.LeftDegreeAngle_LongBase);</v>
      </c>
    </row>
    <row r="64" spans="1:1" x14ac:dyDescent="0.25">
      <c r="A64" s="6" t="str">
        <f t="shared" ca="1" si="1"/>
        <v xml:space="preserve">            result += string.Format("\r\n   RightDegreeAngle_LongBase = {0}", this.RightDegreeAngle_LongBase);</v>
      </c>
    </row>
    <row r="65" spans="1:1" x14ac:dyDescent="0.25">
      <c r="A65" s="6" t="str">
        <f t="shared" ca="1" si="1"/>
        <v xml:space="preserve">            result += string.Format("\r\n   LeftDegreeAngle_ShortBase = {0}", this.LeftDegreeAngle_ShortBase);</v>
      </c>
    </row>
    <row r="66" spans="1:1" x14ac:dyDescent="0.25">
      <c r="A66" s="6" t="str">
        <f t="shared" ca="1" si="1"/>
        <v xml:space="preserve">            result += string.Format("\r\n   RightDegreeAngle_ShortBase = {0}", this.RightDegreeAngle_ShortBase);</v>
      </c>
    </row>
    <row r="67" spans="1:1" x14ac:dyDescent="0.25">
      <c r="A67" s="1" t="s">
        <v>49</v>
      </c>
    </row>
    <row r="68" spans="1:1" x14ac:dyDescent="0.25">
      <c r="A68" s="1" t="s">
        <v>2</v>
      </c>
    </row>
    <row r="69" spans="1:1" x14ac:dyDescent="0.25">
      <c r="A69" s="1" t="s">
        <v>47</v>
      </c>
    </row>
    <row r="70" spans="1:1" x14ac:dyDescent="0.25">
      <c r="A70" s="1" t="s">
        <v>50</v>
      </c>
    </row>
    <row r="71" spans="1:1" x14ac:dyDescent="0.25">
      <c r="A71" s="1" t="s">
        <v>1</v>
      </c>
    </row>
    <row r="72" spans="1:1" x14ac:dyDescent="0.25">
      <c r="A72" s="7" t="str">
        <f ca="1">"            var polygon = new "&amp;B6&amp;"Polygon();"</f>
        <v xml:space="preserve">            var polygon = new TrapezoidPolygon();</v>
      </c>
    </row>
    <row r="74" spans="1:1" x14ac:dyDescent="0.25">
      <c r="A74" s="1" t="s">
        <v>92</v>
      </c>
    </row>
    <row r="75" spans="1:1" x14ac:dyDescent="0.25">
      <c r="A75" s="1" t="s">
        <v>2</v>
      </c>
    </row>
    <row r="76" spans="1:1" x14ac:dyDescent="0.25">
      <c r="A76" s="1" t="s">
        <v>51</v>
      </c>
    </row>
    <row r="77" spans="1:1" x14ac:dyDescent="0.25">
      <c r="A77" s="1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/>
  </sheetViews>
  <sheetFormatPr baseColWidth="10" defaultRowHeight="15" x14ac:dyDescent="0.25"/>
  <cols>
    <col min="1" max="1" width="20.28515625" customWidth="1"/>
  </cols>
  <sheetData>
    <row r="1" spans="1:1" x14ac:dyDescent="0.25">
      <c r="A1" s="44" t="s">
        <v>55</v>
      </c>
    </row>
    <row r="2" spans="1:1" x14ac:dyDescent="0.25">
      <c r="A2" t="s">
        <v>54</v>
      </c>
    </row>
    <row r="3" spans="1:1" x14ac:dyDescent="0.25">
      <c r="A3" t="s">
        <v>83</v>
      </c>
    </row>
    <row r="4" spans="1:1" x14ac:dyDescent="0.25">
      <c r="A4" t="s">
        <v>84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customXml/itemProps4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Circle-Model</vt:lpstr>
      <vt:lpstr>Rectangle-Model</vt:lpstr>
      <vt:lpstr>Trapezoid-Model</vt:lpstr>
      <vt:lpstr>CodeGenerator-1</vt:lpstr>
      <vt:lpstr>CodeGenerator-2</vt:lpstr>
      <vt:lpstr>CodeGenerator-3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2021-12-03T14:39:12Z</dcterms:modified>
</cp:coreProperties>
</file>