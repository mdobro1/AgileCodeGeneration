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m_78\Source\Repos\ExcelCodeGeneration\ExcelCodeGen\"/>
    </mc:Choice>
  </mc:AlternateContent>
  <xr:revisionPtr revIDLastSave="0" documentId="13_ncr:1_{F4CF1B66-67D4-478A-88F7-EC512101F1B5}" xr6:coauthVersionLast="47" xr6:coauthVersionMax="47" xr10:uidLastSave="{00000000-0000-0000-0000-000000000000}"/>
  <bookViews>
    <workbookView xWindow="-120" yWindow="-120" windowWidth="29040" windowHeight="15840" tabRatio="638" activeTab="1" xr2:uid="{00000000-000D-0000-FFFF-FFFF00000000}"/>
  </bookViews>
  <sheets>
    <sheet name="Meta-Model" sheetId="2628" r:id="rId1"/>
    <sheet name="Circle-Model" sheetId="2634" r:id="rId2"/>
    <sheet name="Rectangle-Model" sheetId="2633" r:id="rId3"/>
    <sheet name="Trapezoid-Model" sheetId="2629" r:id="rId4"/>
    <sheet name="CodeGenerator-1" sheetId="2632" r:id="rId5"/>
    <sheet name="CodeGenerator-2" sheetId="2636" r:id="rId6"/>
    <sheet name="CodeGenerator-3" sheetId="2637" r:id="rId7"/>
    <sheet name="Models-Names" sheetId="2635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2629" l="1"/>
  <c r="I8" i="2629"/>
  <c r="I4" i="2629"/>
  <c r="I3" i="2629"/>
  <c r="I6" i="2629"/>
  <c r="I5" i="2629"/>
  <c r="A46" i="2637"/>
  <c r="A31" i="2636"/>
  <c r="A54" i="2637"/>
  <c r="A48" i="2637"/>
  <c r="A37" i="2636"/>
  <c r="A33" i="2636"/>
  <c r="A34" i="2632"/>
  <c r="A31" i="2632"/>
  <c r="E11" i="2637" a="1"/>
  <c r="B6" i="2637" a="1"/>
  <c r="B12" i="2632" a="1"/>
  <c r="B6" i="2636" a="1"/>
  <c r="E3" i="2632" a="1"/>
  <c r="D3" i="2632" a="1"/>
  <c r="E12" i="2637" a="1"/>
  <c r="D4" i="2636" a="1"/>
  <c r="B9" i="2637" a="1"/>
  <c r="E7" i="2637" a="1"/>
  <c r="E6" i="2637" a="1"/>
  <c r="F3" i="2637" a="1"/>
  <c r="F6" i="2637" a="1"/>
  <c r="F7" i="2637" a="1"/>
  <c r="B6" i="2632" a="1"/>
  <c r="C3" i="2636" a="1"/>
  <c r="F5" i="2637" a="1"/>
  <c r="E13" i="2637" a="1"/>
  <c r="E4" i="2637" a="1"/>
  <c r="B9" i="2636" a="1"/>
  <c r="C6" i="2637" a="1"/>
  <c r="D6" i="2637" a="1"/>
  <c r="F3" i="2636" a="1"/>
  <c r="E5" i="2637" a="1"/>
  <c r="D4" i="2637" a="1"/>
  <c r="C3" i="2637" a="1"/>
  <c r="F10" i="2637" a="1"/>
  <c r="E9" i="2637" a="1"/>
  <c r="F9" i="2637" a="1"/>
  <c r="B12" i="2636" a="1"/>
  <c r="D3" i="2636" a="1"/>
  <c r="E3" i="2637" a="1"/>
  <c r="E14" i="2637" a="1"/>
  <c r="B9" i="2632" a="1"/>
  <c r="F11" i="2637" a="1"/>
  <c r="F12" i="2637" a="1"/>
  <c r="E3" i="2636" a="1"/>
  <c r="E10" i="2637" a="1"/>
  <c r="F3" i="2632" a="1"/>
  <c r="E8" i="2637" a="1"/>
  <c r="F8" i="2637" a="1"/>
  <c r="D3" i="2637" a="1"/>
  <c r="F4" i="2637" a="1"/>
  <c r="F13" i="2637" a="1"/>
  <c r="C5" i="2637" a="1"/>
  <c r="F14" i="2637" a="1"/>
  <c r="C4" i="2636" a="1"/>
  <c r="C4" i="2637" a="1"/>
  <c r="D5" i="2637" a="1"/>
  <c r="B12" i="2637" a="1"/>
  <c r="D4" i="2636" l="1"/>
  <c r="C4" i="2636"/>
  <c r="A35" i="2636" s="1"/>
  <c r="E14" i="2637"/>
  <c r="A66" i="2637" s="1"/>
  <c r="F14" i="2637"/>
  <c r="E12" i="2637"/>
  <c r="A64" i="2637" s="1"/>
  <c r="F4" i="2637"/>
  <c r="F6" i="2637"/>
  <c r="F12" i="2637"/>
  <c r="E8" i="2637"/>
  <c r="A60" i="2637" s="1"/>
  <c r="F8" i="2637"/>
  <c r="F10" i="2637"/>
  <c r="E7" i="2637"/>
  <c r="A59" i="2637" s="1"/>
  <c r="E13" i="2637"/>
  <c r="A65" i="2637" s="1"/>
  <c r="E6" i="2637"/>
  <c r="A58" i="2637" s="1"/>
  <c r="E5" i="2637"/>
  <c r="A57" i="2637" s="1"/>
  <c r="E9" i="2637"/>
  <c r="A61" i="2637" s="1"/>
  <c r="E11" i="2637"/>
  <c r="A63" i="2637" s="1"/>
  <c r="E10" i="2637"/>
  <c r="A62" i="2637" s="1"/>
  <c r="F7" i="2637"/>
  <c r="F13" i="2637"/>
  <c r="E4" i="2637"/>
  <c r="A56" i="2637" s="1"/>
  <c r="F5" i="2637"/>
  <c r="F9" i="2637"/>
  <c r="F11" i="2637"/>
  <c r="D5" i="2637"/>
  <c r="C5" i="2637"/>
  <c r="A51" i="2637" s="1"/>
  <c r="C6" i="2637"/>
  <c r="A52" i="2637" s="1"/>
  <c r="C4" i="2637"/>
  <c r="A50" i="2637" s="1"/>
  <c r="D6" i="2637"/>
  <c r="D4" i="2637"/>
  <c r="B12" i="2637"/>
  <c r="A41" i="2637" s="1"/>
  <c r="B12" i="2636"/>
  <c r="A26" i="2636" s="1"/>
  <c r="B12" i="2632"/>
  <c r="A24" i="2632" s="1"/>
  <c r="D3" i="2637"/>
  <c r="B9" i="2637"/>
  <c r="A40" i="2637" s="1"/>
  <c r="E3" i="2637"/>
  <c r="A55" i="2637" s="1"/>
  <c r="F3" i="2637"/>
  <c r="B6" i="2637"/>
  <c r="A72" i="2637" s="1"/>
  <c r="C3" i="2637"/>
  <c r="A49" i="2637" s="1"/>
  <c r="B9" i="2636"/>
  <c r="A25" i="2636" s="1"/>
  <c r="B6" i="2636"/>
  <c r="A44" i="2636" s="1"/>
  <c r="D3" i="2636"/>
  <c r="F3" i="2636"/>
  <c r="E3" i="2636"/>
  <c r="A38" i="2636" s="1"/>
  <c r="C3" i="2636"/>
  <c r="A34" i="2636" s="1"/>
  <c r="B6" i="2632"/>
  <c r="A29" i="2632" s="1"/>
  <c r="F3" i="2632"/>
  <c r="E3" i="2632"/>
  <c r="A35" i="2632" s="1"/>
  <c r="B9" i="2632"/>
  <c r="A23" i="2632" s="1"/>
  <c r="D3" i="2632"/>
  <c r="A7" i="2632" l="1"/>
  <c r="A15" i="2636"/>
  <c r="A19" i="2636"/>
  <c r="A23" i="2637"/>
  <c r="A21" i="2637"/>
  <c r="A37" i="2637"/>
  <c r="A36" i="2637"/>
  <c r="A32" i="2637"/>
  <c r="A35" i="2637"/>
  <c r="A34" i="2637"/>
  <c r="A33" i="2637"/>
  <c r="A30" i="2637"/>
  <c r="A31" i="2637"/>
  <c r="A28" i="2637"/>
  <c r="A29" i="2637"/>
  <c r="A27" i="2637"/>
  <c r="A16" i="2637"/>
  <c r="A22" i="2637"/>
  <c r="A17" i="2637"/>
  <c r="A15" i="2637"/>
  <c r="A11" i="2637"/>
  <c r="A20" i="2637"/>
  <c r="A14" i="2637"/>
  <c r="A26" i="2637"/>
  <c r="A18" i="2636"/>
  <c r="A14" i="2636"/>
  <c r="A22" i="2636"/>
  <c r="A11" i="2636"/>
  <c r="A11" i="2632"/>
  <c r="A41" i="2632"/>
  <c r="A20" i="2632"/>
  <c r="I13" i="2629"/>
  <c r="I12" i="2629"/>
  <c r="I11" i="2629"/>
  <c r="I10" i="2629"/>
  <c r="I7" i="2629"/>
  <c r="I2" i="2633"/>
  <c r="F3" i="2629"/>
  <c r="E3" i="2629"/>
  <c r="F3" i="2633"/>
  <c r="E3" i="2633"/>
  <c r="F3" i="2634"/>
  <c r="E3" i="2634"/>
  <c r="I2" i="2634"/>
  <c r="I2" i="2629"/>
  <c r="A3" i="2629"/>
  <c r="A4" i="2629" s="1"/>
  <c r="A5" i="2629" s="1"/>
  <c r="A6" i="2629" s="1"/>
  <c r="A3" i="2633"/>
  <c r="C3" i="2632" a="1"/>
  <c r="C3" i="2632" l="1"/>
  <c r="A32" i="2632" s="1"/>
  <c r="A14" i="2632" l="1"/>
  <c r="A17" i="26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rtikel" type="6" refreshedVersion="0" background="1">
    <textPr prompt="0" sourceFile="Artikel.csv" decimal="," thousands=".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<sst xmlns="http://schemas.openxmlformats.org/spreadsheetml/2006/main" count="228" uniqueCount="105">
  <si>
    <t>Property</t>
  </si>
  <si>
    <t xml:space="preserve">        {</t>
  </si>
  <si>
    <t xml:space="preserve">        }</t>
  </si>
  <si>
    <t>N°</t>
  </si>
  <si>
    <t>Bezeichnung</t>
  </si>
  <si>
    <t>Regel</t>
  </si>
  <si>
    <t xml:space="preserve">Name des Polygons </t>
  </si>
  <si>
    <t>Beschreibung</t>
  </si>
  <si>
    <t>Beispiele</t>
  </si>
  <si>
    <t>Rechteck, Dreieck, Kreis etc.</t>
  </si>
  <si>
    <t>Umfasst alle Punkte, die sich im Inneren oder auf dem Rand der Figur befinden.</t>
  </si>
  <si>
    <t>Umfasst alle Punkte, die sich auf dem Rand der Figur befinden.</t>
  </si>
  <si>
    <t>Wird durch die Formel mit relevanten Eigenschaften eindeutig berechnet (s. Beispiele)</t>
  </si>
  <si>
    <t>Eine 2-dimensionale (flache) geometrische Figur</t>
  </si>
  <si>
    <t>Ein oder mehrere Merkmale, die das Polygon vollständig definieren.</t>
  </si>
  <si>
    <t>Area (Fläche)</t>
  </si>
  <si>
    <t>Perimeter (Umfang)</t>
  </si>
  <si>
    <t>Co-Property</t>
  </si>
  <si>
    <t>Polygon kann weitere Eigenschaften haben, die von Haupteignschaften abgeleitet (berechnet) werden können</t>
  </si>
  <si>
    <t xml:space="preserve">Diameter                          (Kreis)
Diagonale                         (Quadrat) </t>
  </si>
  <si>
    <t xml:space="preserve">                                        (Kreis)
                                        (Quadrat)
                                        (Rechteck)</t>
  </si>
  <si>
    <t>Radius r (Kreis), Seitelänge a (Quadrat), Seitenlängen a,b (Rechteck etc.)</t>
  </si>
  <si>
    <t>Polygon</t>
  </si>
  <si>
    <t>Radius</t>
  </si>
  <si>
    <t>Co-Property Name</t>
  </si>
  <si>
    <t>Property Value</t>
  </si>
  <si>
    <t>Property Name</t>
  </si>
  <si>
    <t>Diameter</t>
  </si>
  <si>
    <t xml:space="preserve">           (Pi)</t>
  </si>
  <si>
    <t>Mathematische Konstante</t>
  </si>
  <si>
    <t>3.14159265359</t>
  </si>
  <si>
    <t>Eine mathematische Konstante, die als Verhältnis des Umfangs eines Kreises zu seinem Durchmesser definiert ist.</t>
  </si>
  <si>
    <t>Width</t>
  </si>
  <si>
    <t>Diagonal</t>
  </si>
  <si>
    <t>Height</t>
  </si>
  <si>
    <t>Circle</t>
  </si>
  <si>
    <t>Rectangle</t>
  </si>
  <si>
    <t>MiddleLine</t>
  </si>
  <si>
    <t>//------------------------------------------------------------------------------</t>
  </si>
  <si>
    <t>// &lt;auto-generated&gt;</t>
  </si>
  <si>
    <t>//     Dieser Code wurde von einem Tool generiert.</t>
  </si>
  <si>
    <t>// &lt;/auto-generated&gt;</t>
  </si>
  <si>
    <t>{</t>
  </si>
  <si>
    <t xml:space="preserve">    using System;   </t>
  </si>
  <si>
    <t xml:space="preserve">    </t>
  </si>
  <si>
    <t xml:space="preserve">    {   </t>
  </si>
  <si>
    <t xml:space="preserve">            </t>
  </si>
  <si>
    <t xml:space="preserve">        </t>
  </si>
  <si>
    <t xml:space="preserve">        public override string ToString()</t>
  </si>
  <si>
    <t xml:space="preserve">            return result;</t>
  </si>
  <si>
    <t xml:space="preserve">        public static void Main()</t>
  </si>
  <si>
    <t xml:space="preserve">    }</t>
  </si>
  <si>
    <t>}</t>
  </si>
  <si>
    <t>namespace ExcelCodeGen</t>
  </si>
  <si>
    <t>Circle-Model</t>
  </si>
  <si>
    <t>Model-Name</t>
  </si>
  <si>
    <t>ShortBase</t>
  </si>
  <si>
    <t>LongBase</t>
  </si>
  <si>
    <t>LeftLeg</t>
  </si>
  <si>
    <t>RightLeg</t>
  </si>
  <si>
    <t>RightSmallBase</t>
  </si>
  <si>
    <t>LeftSmallBase</t>
  </si>
  <si>
    <r>
      <t xml:space="preserve">Co-Property Formula 
</t>
    </r>
    <r>
      <rPr>
        <sz val="11"/>
        <color theme="1"/>
        <rFont val="Calibri"/>
        <family val="2"/>
        <scheme val="minor"/>
      </rPr>
      <t>(C#/.NET)</t>
    </r>
  </si>
  <si>
    <t>LeftRadianAngle_LongBase</t>
  </si>
  <si>
    <t>RightRadianAngle_LongBase</t>
  </si>
  <si>
    <t>LeftRadianAngle_ShortBase</t>
  </si>
  <si>
    <t>Name/Bezeichnung/Wert der Polygon-Eigenschaft(en)</t>
  </si>
  <si>
    <t>Name/Bezeichnung/Formel einer  abgeleiteten Polygon-Eigenschaft</t>
  </si>
  <si>
    <r>
      <t xml:space="preserve">Co-Property Formula 
</t>
    </r>
    <r>
      <rPr>
        <sz val="11"/>
        <color theme="1"/>
        <rFont val="Calibri"/>
        <family val="2"/>
        <scheme val="minor"/>
      </rPr>
      <t>(Math)</t>
    </r>
  </si>
  <si>
    <r>
      <t xml:space="preserve">Area Formula 
</t>
    </r>
    <r>
      <rPr>
        <sz val="11"/>
        <color theme="1"/>
        <rFont val="Calibri"/>
        <family val="2"/>
        <scheme val="minor"/>
      </rPr>
      <t>(Math / .NET)</t>
    </r>
  </si>
  <si>
    <r>
      <t xml:space="preserve">Perimeter Formula
</t>
    </r>
    <r>
      <rPr>
        <sz val="11"/>
        <color theme="1"/>
        <rFont val="Calibri"/>
        <family val="2"/>
        <scheme val="minor"/>
      </rPr>
      <t>(Math / .NET)</t>
    </r>
  </si>
  <si>
    <t>RightRadianAngle_ShortBase</t>
  </si>
  <si>
    <t>LeftDegreeAngle_LongBase</t>
  </si>
  <si>
    <t>RightDegreeAngle_LongBase</t>
  </si>
  <si>
    <t>LeftDegreeAngle_ShortBase</t>
  </si>
  <si>
    <t>RightDegreeAngle_ShortBase</t>
  </si>
  <si>
    <t>Values</t>
  </si>
  <si>
    <t xml:space="preserve">Area Formula </t>
  </si>
  <si>
    <t xml:space="preserve">Perimeter Formula </t>
  </si>
  <si>
    <t>Co-Property Formula</t>
  </si>
  <si>
    <t>Polygon-Name</t>
  </si>
  <si>
    <t>MODEL-Data</t>
  </si>
  <si>
    <t>CODE-Template</t>
  </si>
  <si>
    <t>Rectangle-Model</t>
  </si>
  <si>
    <t>Trapezoid-Model</t>
  </si>
  <si>
    <t>Trapezoid</t>
  </si>
  <si>
    <t xml:space="preserve">            // Polygon main attributes</t>
  </si>
  <si>
    <t xml:space="preserve">        // Main values</t>
  </si>
  <si>
    <t xml:space="preserve">            // Polygon main values</t>
  </si>
  <si>
    <t xml:space="preserve">       // Attributes (fields)</t>
  </si>
  <si>
    <t xml:space="preserve">       // Attributes (properties)</t>
  </si>
  <si>
    <t xml:space="preserve">       // Derived attributes (co-properties)</t>
  </si>
  <si>
    <t xml:space="preserve">            System.Console.WriteLine(polygon.ToString());</t>
  </si>
  <si>
    <t xml:space="preserve">            // Polygon derived attributes</t>
  </si>
  <si>
    <t>10.0</t>
  </si>
  <si>
    <t>15.0</t>
  </si>
  <si>
    <t>20.0</t>
  </si>
  <si>
    <t>30.0</t>
  </si>
  <si>
    <t>13.0</t>
  </si>
  <si>
    <t xml:space="preserve">Hints: </t>
  </si>
  <si>
    <t>1) Choose Model-Name (B3);</t>
  </si>
  <si>
    <t>2) Selection copy Ctrl+Shift+G;</t>
  </si>
  <si>
    <t>3) Selection delete Ctrl+Shift+D</t>
  </si>
  <si>
    <t xml:space="preserve">4) Copy genearted code to the clipboard Ctrl+Shift+C </t>
  </si>
  <si>
    <t>2) Selection copy Ctrl+Shift+G (yellow fields, until contains model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</si>
</sst>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71717"/>
      <name val="Consolas"/>
      <family val="3"/>
    </font>
    <font>
      <b/>
      <sz val="14"/>
      <color theme="0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2" xfId="0" applyBorder="1"/>
    <xf numFmtId="0" fontId="0" fillId="0" borderId="3" xfId="0" applyBorder="1" applyAlignment="1">
      <alignment wrapText="1"/>
    </xf>
    <xf numFmtId="0" fontId="0" fillId="0" borderId="4" xfId="0" applyBorder="1"/>
    <xf numFmtId="0" fontId="0" fillId="0" borderId="5" xfId="0" applyBorder="1" applyAlignment="1">
      <alignment wrapText="1"/>
    </xf>
    <xf numFmtId="3" fontId="0" fillId="0" borderId="6" xfId="0" quotePrefix="1" applyNumberFormat="1" applyBorder="1" applyAlignment="1">
      <alignment wrapText="1"/>
    </xf>
    <xf numFmtId="0" fontId="0" fillId="0" borderId="7" xfId="0" applyBorder="1"/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0" fillId="0" borderId="0" xfId="0" applyFill="1" applyBorder="1" applyAlignment="1">
      <alignment wrapText="1"/>
    </xf>
    <xf numFmtId="0" fontId="0" fillId="3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quotePrefix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0" fillId="5" borderId="0" xfId="0" quotePrefix="1" applyFill="1" applyBorder="1" applyAlignment="1">
      <alignment horizontal="center" vertical="center" wrapText="1"/>
    </xf>
    <xf numFmtId="0" fontId="1" fillId="0" borderId="0" xfId="0" applyFont="1" applyBorder="1"/>
    <xf numFmtId="0" fontId="1" fillId="0" borderId="0" xfId="0" applyFont="1" applyAlignment="1">
      <alignment horizontal="center" vertical="center" wrapText="1"/>
    </xf>
    <xf numFmtId="0" fontId="0" fillId="4" borderId="0" xfId="0" applyFill="1"/>
    <xf numFmtId="0" fontId="0" fillId="5" borderId="0" xfId="0" applyFill="1"/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3" fillId="0" borderId="0" xfId="0" applyFont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69FF77"/>
      <color rgb="FF8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619125</xdr:colOff>
      <xdr:row>5</xdr:row>
      <xdr:rowOff>380999</xdr:rowOff>
    </xdr:from>
    <xdr:ext cx="676275" cy="188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√2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</a:t>
              </a:r>
              <a:r>
                <a:rPr lang="de-DE" sz="110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latin typeface="Cambria Math" panose="02040503050406030204" pitchFamily="18" charset="0"/>
                </a:rPr>
                <a:t>𝑎 </a:t>
              </a:r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√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657225</xdr:colOff>
      <xdr:row>5</xdr:row>
      <xdr:rowOff>204787</xdr:rowOff>
    </xdr:from>
    <xdr:ext cx="64466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3</xdr:row>
      <xdr:rowOff>23812</xdr:rowOff>
    </xdr:from>
    <xdr:ext cx="81990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 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 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214312</xdr:rowOff>
    </xdr:from>
    <xdr:ext cx="996234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𝑎= 𝑎^2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395287</xdr:rowOff>
    </xdr:from>
    <xdr:ext cx="66204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23812</xdr:rowOff>
    </xdr:from>
    <xdr:ext cx="836639" cy="3375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</m:t>
                    </m:r>
                  </m:oMath>
                </m:oMathPara>
              </a14:m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Choice>
      <mc:Fallback xmlns="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×𝑟  </a:t>
              </a:r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4</xdr:row>
      <xdr:rowOff>395287</xdr:rowOff>
    </xdr:from>
    <xdr:ext cx="11281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204787</xdr:rowOff>
    </xdr:from>
    <xdr:ext cx="63927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=4×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𝑈=4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</xdr:col>
      <xdr:colOff>123825</xdr:colOff>
      <xdr:row>6</xdr:row>
      <xdr:rowOff>347662</xdr:rowOff>
    </xdr:from>
    <xdr:ext cx="150874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</m:oMath>
                </m:oMathPara>
              </a14:m>
              <a:endParaRPr lang="de-DE" sz="1400" b="0" i="1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</a:t>
              </a:r>
              <a:endParaRPr lang="de-DE" sz="1400" b="0" i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590550</xdr:colOff>
      <xdr:row>1</xdr:row>
      <xdr:rowOff>52387</xdr:rowOff>
    </xdr:from>
    <xdr:ext cx="727892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457200</xdr:colOff>
      <xdr:row>1</xdr:row>
      <xdr:rowOff>38100</xdr:rowOff>
    </xdr:from>
    <xdr:ext cx="6840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1</xdr:row>
      <xdr:rowOff>52387</xdr:rowOff>
    </xdr:from>
    <xdr:ext cx="61472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=2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∙𝑟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752476</xdr:colOff>
      <xdr:row>3</xdr:row>
      <xdr:rowOff>29936</xdr:rowOff>
    </xdr:from>
    <xdr:to>
      <xdr:col>5</xdr:col>
      <xdr:colOff>1019175</xdr:colOff>
      <xdr:row>15</xdr:row>
      <xdr:rowOff>1360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12076ADD-266A-45FA-9CA5-94AFBC865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5801" y="1030061"/>
          <a:ext cx="2257424" cy="22574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180975</xdr:colOff>
      <xdr:row>1</xdr:row>
      <xdr:rowOff>109537</xdr:rowOff>
    </xdr:from>
    <xdr:ext cx="961224" cy="2162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 √(𝑎^2+ 𝑏^2 )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276225</xdr:colOff>
      <xdr:row>1</xdr:row>
      <xdr:rowOff>147637</xdr:rowOff>
    </xdr:from>
    <xdr:ext cx="63209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∙ 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 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438150</xdr:colOff>
      <xdr:row>1</xdr:row>
      <xdr:rowOff>161925</xdr:rowOff>
    </xdr:from>
    <xdr:ext cx="10012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170851</xdr:colOff>
      <xdr:row>4</xdr:row>
      <xdr:rowOff>85725</xdr:rowOff>
    </xdr:from>
    <xdr:to>
      <xdr:col>5</xdr:col>
      <xdr:colOff>1514476</xdr:colOff>
      <xdr:row>11</xdr:row>
      <xdr:rowOff>153749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5A8AC4F5-2C70-4A65-B2E1-6310605A5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14176" y="1457325"/>
          <a:ext cx="2648550" cy="14015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581025</xdr:colOff>
      <xdr:row>1</xdr:row>
      <xdr:rowOff>104775</xdr:rowOff>
    </xdr:from>
    <xdr:ext cx="6052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𝐴=𝑚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276225</xdr:colOff>
      <xdr:row>1</xdr:row>
      <xdr:rowOff>119063</xdr:rowOff>
    </xdr:from>
    <xdr:ext cx="11367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𝑈=𝑎+𝑏+𝑐+𝑑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390525</xdr:colOff>
      <xdr:row>1</xdr:row>
      <xdr:rowOff>38100</xdr:rowOff>
    </xdr:from>
    <xdr:ext cx="782715" cy="3702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𝑚=(𝑎+𝑐)/2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47625</xdr:colOff>
      <xdr:row>2</xdr:row>
      <xdr:rowOff>138112</xdr:rowOff>
    </xdr:from>
    <xdr:ext cx="2365135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𝑎_𝑟=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𝑏^2  − 𝑑^2+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104775</xdr:colOff>
      <xdr:row>3</xdr:row>
      <xdr:rowOff>142875</xdr:rowOff>
    </xdr:from>
    <xdr:ext cx="2259272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</a:t>
              </a:r>
              <a:r>
                <a:rPr lang="de-DE" sz="1100" b="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((𝑑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  −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𝑏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514350</xdr:colOff>
      <xdr:row>4</xdr:row>
      <xdr:rowOff>71437</xdr:rowOff>
    </xdr:from>
    <xdr:ext cx="1009251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ℎ= √(𝑏^2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𝑎_𝑟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4</xdr:row>
      <xdr:rowOff>347662</xdr:rowOff>
    </xdr:from>
    <xdr:ext cx="1003608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𝑙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ℎ= √(𝑑^2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𝑎_𝑙〗^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5</xdr:row>
      <xdr:rowOff>23812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6</xdr:row>
      <xdr:rowOff>9525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𝑏)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7</xdr:row>
      <xdr:rowOff>57150</xdr:rowOff>
    </xdr:from>
    <xdr:ext cx="137160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𝛿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𝛿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8</xdr:row>
      <xdr:rowOff>66675</xdr:rowOff>
    </xdr:from>
    <xdr:ext cx="137160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𝑏)  )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3</xdr:col>
      <xdr:colOff>1157856</xdr:colOff>
      <xdr:row>3</xdr:row>
      <xdr:rowOff>333374</xdr:rowOff>
    </xdr:from>
    <xdr:to>
      <xdr:col>5</xdr:col>
      <xdr:colOff>1551309</xdr:colOff>
      <xdr:row>11</xdr:row>
      <xdr:rowOff>257174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5411B0E-8B08-4265-A40E-C4FB222F8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01031" y="1800224"/>
          <a:ext cx="3584328" cy="3552825"/>
        </a:xfrm>
        <a:prstGeom prst="rect">
          <a:avLst/>
        </a:prstGeom>
      </xdr:spPr>
    </xdr:pic>
    <xdr:clientData/>
  </xdr:twoCellAnchor>
  <xdr:oneCellAnchor>
    <xdr:from>
      <xdr:col>7</xdr:col>
      <xdr:colOff>723899</xdr:colOff>
      <xdr:row>9</xdr:row>
      <xdr:rowOff>42861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2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10</xdr:row>
      <xdr:rowOff>23811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11</xdr:row>
      <xdr:rowOff>33336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𝛿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𝛿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752474</xdr:colOff>
      <xdr:row>12</xdr:row>
      <xdr:rowOff>52386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𝛾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𝛾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C086B-EB21-4C01-BB93-98D2D6901167}">
  <sheetPr codeName="Tabelle1"/>
  <dimension ref="A1:E7"/>
  <sheetViews>
    <sheetView workbookViewId="0">
      <selection activeCell="B1" sqref="B1"/>
    </sheetView>
  </sheetViews>
  <sheetFormatPr baseColWidth="10" defaultRowHeight="15" x14ac:dyDescent="0.25"/>
  <cols>
    <col min="1" max="1" width="7" customWidth="1"/>
    <col min="2" max="2" width="16.42578125" style="3" customWidth="1"/>
    <col min="3" max="3" width="35" style="3" customWidth="1"/>
    <col min="4" max="4" width="39.7109375" style="3" bestFit="1" customWidth="1"/>
    <col min="5" max="5" width="40.5703125" style="3" customWidth="1"/>
  </cols>
  <sheetData>
    <row r="1" spans="1:5" s="2" customFormat="1" ht="24.75" customHeight="1" thickBot="1" x14ac:dyDescent="0.3">
      <c r="A1" s="18" t="s">
        <v>3</v>
      </c>
      <c r="B1" s="19" t="s">
        <v>4</v>
      </c>
      <c r="C1" s="19" t="s">
        <v>7</v>
      </c>
      <c r="D1" s="19" t="s">
        <v>5</v>
      </c>
      <c r="E1" s="20" t="s">
        <v>8</v>
      </c>
    </row>
    <row r="2" spans="1:5" ht="30" x14ac:dyDescent="0.25">
      <c r="A2" s="15">
        <v>1</v>
      </c>
      <c r="B2" s="16" t="s">
        <v>22</v>
      </c>
      <c r="C2" s="16" t="s">
        <v>6</v>
      </c>
      <c r="D2" s="16" t="s">
        <v>13</v>
      </c>
      <c r="E2" s="17" t="s">
        <v>9</v>
      </c>
    </row>
    <row r="3" spans="1:5" ht="30" x14ac:dyDescent="0.25">
      <c r="A3" s="10">
        <v>2</v>
      </c>
      <c r="B3" s="9" t="s">
        <v>0</v>
      </c>
      <c r="C3" s="9" t="s">
        <v>66</v>
      </c>
      <c r="D3" s="9" t="s">
        <v>14</v>
      </c>
      <c r="E3" s="11" t="s">
        <v>21</v>
      </c>
    </row>
    <row r="4" spans="1:5" ht="43.5" customHeight="1" x14ac:dyDescent="0.25">
      <c r="A4" s="10">
        <v>3</v>
      </c>
      <c r="B4" s="9" t="s">
        <v>15</v>
      </c>
      <c r="C4" s="9" t="s">
        <v>10</v>
      </c>
      <c r="D4" s="9" t="s">
        <v>12</v>
      </c>
      <c r="E4" s="11" t="s">
        <v>20</v>
      </c>
    </row>
    <row r="5" spans="1:5" ht="45" x14ac:dyDescent="0.25">
      <c r="A5" s="10">
        <v>4</v>
      </c>
      <c r="B5" s="9" t="s">
        <v>16</v>
      </c>
      <c r="C5" s="9" t="s">
        <v>11</v>
      </c>
      <c r="D5" s="9" t="s">
        <v>12</v>
      </c>
      <c r="E5" s="11" t="s">
        <v>20</v>
      </c>
    </row>
    <row r="6" spans="1:5" ht="45" x14ac:dyDescent="0.25">
      <c r="A6" s="10">
        <v>5</v>
      </c>
      <c r="B6" s="9" t="s">
        <v>17</v>
      </c>
      <c r="C6" s="9" t="s">
        <v>67</v>
      </c>
      <c r="D6" s="9" t="s">
        <v>18</v>
      </c>
      <c r="E6" s="11" t="s">
        <v>19</v>
      </c>
    </row>
    <row r="7" spans="1:5" ht="45.75" thickBot="1" x14ac:dyDescent="0.3">
      <c r="A7" s="12">
        <v>6</v>
      </c>
      <c r="B7" s="13" t="s">
        <v>28</v>
      </c>
      <c r="C7" s="13" t="s">
        <v>29</v>
      </c>
      <c r="D7" s="13" t="s">
        <v>31</v>
      </c>
      <c r="E7" s="14" t="s">
        <v>30</v>
      </c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B8532-2927-4779-8468-7FAEA2EEE605}">
  <sheetPr codeName="Tabelle2"/>
  <dimension ref="A1:I5"/>
  <sheetViews>
    <sheetView tabSelected="1" workbookViewId="0">
      <selection activeCell="B32" sqref="B32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29.85546875" style="5" customWidth="1"/>
    <col min="6" max="6" width="24.85546875" style="5" bestFit="1" customWidth="1"/>
    <col min="7" max="7" width="20" style="5" customWidth="1"/>
    <col min="8" max="8" width="25.5703125" style="4" customWidth="1"/>
    <col min="9" max="9" width="28.7109375" style="5" bestFit="1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s="23" customFormat="1" ht="22.5" customHeight="1" x14ac:dyDescent="0.25">
      <c r="A2" s="23">
        <v>1</v>
      </c>
      <c r="B2" s="22" t="s">
        <v>35</v>
      </c>
      <c r="C2" s="24" t="s">
        <v>23</v>
      </c>
      <c r="D2" s="25" t="s">
        <v>94</v>
      </c>
      <c r="E2" s="28"/>
      <c r="F2" s="5"/>
      <c r="G2" s="37" t="s">
        <v>27</v>
      </c>
      <c r="H2" s="4"/>
      <c r="I2" s="39" t="str">
        <f>"2 * "&amp;C2</f>
        <v>2 * Radius</v>
      </c>
    </row>
    <row r="3" spans="1:9" ht="21" customHeight="1" x14ac:dyDescent="0.25">
      <c r="E3" s="38" t="str">
        <f>"Math.PI * Math.Pow("&amp;C2&amp;",2)"</f>
        <v>Math.PI * Math.Pow(Radius,2)</v>
      </c>
      <c r="F3" s="38" t="str">
        <f>"2 * Math.PI * "&amp;C2</f>
        <v>2 * Math.PI * Radius</v>
      </c>
    </row>
    <row r="5" spans="1:9" x14ac:dyDescent="0.25">
      <c r="H5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1372-A837-4085-BB1F-E2119616B3A2}">
  <sheetPr codeName="Tabelle3"/>
  <dimension ref="A1:I3"/>
  <sheetViews>
    <sheetView workbookViewId="0">
      <selection activeCell="C35" sqref="C35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19.5703125" style="5" customWidth="1"/>
    <col min="6" max="6" width="25" style="5" customWidth="1"/>
    <col min="7" max="7" width="17.5703125" style="5" bestFit="1" customWidth="1"/>
    <col min="8" max="8" width="19.5703125" style="4" bestFit="1" customWidth="1"/>
    <col min="9" max="9" width="47.7109375" style="5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ht="36.75" customHeight="1" x14ac:dyDescent="0.25">
      <c r="A2" s="23">
        <v>1</v>
      </c>
      <c r="B2" s="22" t="s">
        <v>36</v>
      </c>
      <c r="C2" s="24" t="s">
        <v>32</v>
      </c>
      <c r="D2" s="25" t="s">
        <v>94</v>
      </c>
      <c r="E2" s="28"/>
      <c r="F2" s="28"/>
      <c r="G2" s="37" t="s">
        <v>33</v>
      </c>
      <c r="I2" s="38" t="str">
        <f>"Math.Sqrt(Math.Pow("&amp;C2&amp;",2.0)  + Math.Pow("&amp;C3&amp;",2.0))"</f>
        <v>Math.Sqrt(Math.Pow(Width,2.0)  + Math.Pow(Height,2.0))</v>
      </c>
    </row>
    <row r="3" spans="1:9" ht="21" customHeight="1" x14ac:dyDescent="0.25">
      <c r="A3" s="23">
        <f t="shared" ref="A3" si="0">A2+1</f>
        <v>2</v>
      </c>
      <c r="B3" s="23"/>
      <c r="C3" s="24" t="s">
        <v>34</v>
      </c>
      <c r="D3" s="25" t="s">
        <v>95</v>
      </c>
      <c r="E3" s="38" t="str">
        <f>C2&amp;" * " &amp;C3</f>
        <v>Width * Height</v>
      </c>
      <c r="F3" s="38" t="str">
        <f>" 2 * " &amp;C2&amp;" + 2 * " &amp;C3</f>
        <v xml:space="preserve"> 2 * Width + 2 * Height</v>
      </c>
      <c r="G3" s="26"/>
      <c r="I3" s="26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174A5-D816-4449-9D35-356307EEBE42}">
  <sheetPr codeName="Tabelle4"/>
  <dimension ref="A1:I27"/>
  <sheetViews>
    <sheetView workbookViewId="0">
      <selection activeCell="C17" sqref="C17"/>
    </sheetView>
  </sheetViews>
  <sheetFormatPr baseColWidth="10" defaultRowHeight="15" x14ac:dyDescent="0.25"/>
  <cols>
    <col min="1" max="1" width="8.42578125" style="36" customWidth="1"/>
    <col min="2" max="2" width="13.85546875" style="34" customWidth="1"/>
    <col min="3" max="3" width="15.85546875" style="34" customWidth="1"/>
    <col min="4" max="4" width="18" style="34" customWidth="1"/>
    <col min="5" max="5" width="29.85546875" style="21" customWidth="1"/>
    <col min="6" max="6" width="24.85546875" style="21" bestFit="1" customWidth="1"/>
    <col min="7" max="7" width="28.42578125" style="21" bestFit="1" customWidth="1"/>
    <col min="8" max="8" width="36.42578125" style="4" customWidth="1"/>
    <col min="9" max="9" width="63.28515625" style="21" customWidth="1"/>
    <col min="10" max="16384" width="11.42578125" style="34"/>
  </cols>
  <sheetData>
    <row r="1" spans="1:9" s="33" customFormat="1" ht="35.25" customHeight="1" x14ac:dyDescent="0.25">
      <c r="A1" s="33" t="s">
        <v>3</v>
      </c>
      <c r="B1" s="33" t="s">
        <v>22</v>
      </c>
      <c r="C1" s="33" t="s">
        <v>26</v>
      </c>
      <c r="D1" s="33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ht="30.75" customHeight="1" x14ac:dyDescent="0.25">
      <c r="A2" s="31">
        <v>1</v>
      </c>
      <c r="B2" s="22" t="s">
        <v>85</v>
      </c>
      <c r="C2" s="24" t="s">
        <v>56</v>
      </c>
      <c r="D2" s="25" t="s">
        <v>96</v>
      </c>
      <c r="E2" s="32"/>
      <c r="F2" s="32"/>
      <c r="G2" s="37" t="s">
        <v>37</v>
      </c>
      <c r="I2" s="39" t="str">
        <f>"("&amp;C2&amp;" + " &amp;C3&amp;")/2 "</f>
        <v xml:space="preserve">(ShortBase + LongBase)/2 </v>
      </c>
    </row>
    <row r="3" spans="1:9" ht="49.5" customHeight="1" x14ac:dyDescent="0.25">
      <c r="A3" s="31">
        <f t="shared" ref="A3:A6" si="0">A2+1</f>
        <v>2</v>
      </c>
      <c r="B3" s="31"/>
      <c r="C3" s="24" t="s">
        <v>57</v>
      </c>
      <c r="D3" s="25" t="s">
        <v>97</v>
      </c>
      <c r="E3" s="38" t="str">
        <f>G2&amp;" * " &amp;G5</f>
        <v>MiddleLine * Height</v>
      </c>
      <c r="F3" s="38" t="str">
        <f>C2&amp;" + " &amp;C3 &amp;" + " &amp;C4 &amp;" + " &amp;C5</f>
        <v>ShortBase + LongBase + LeftLeg + RightLeg</v>
      </c>
      <c r="G3" s="37" t="s">
        <v>60</v>
      </c>
      <c r="I3" s="38" t="str">
        <f>"(Math.Pow("&amp;C5&amp;",2) - Math.Pow("&amp;C4&amp;",2) + Math.Pow("&amp;C3&amp;",2) + Math.Pow("&amp;C2&amp;",2) - 2 * "&amp; C2 &amp;" * "&amp; C3 &amp;")/ (2*("&amp; C3 &amp;" - "&amp; C2 &amp;"))"</f>
        <v>(Math.Pow(RightLeg,2) - Math.Pow(LeftLeg,2) + Math.Pow(LongBase,2) + Math.Pow(ShortBase,2) - 2 * ShortBase * LongBase)/ (2*(LongBase - ShortBase))</v>
      </c>
    </row>
    <row r="4" spans="1:9" ht="49.5" customHeight="1" x14ac:dyDescent="0.25">
      <c r="A4" s="31">
        <f t="shared" si="0"/>
        <v>3</v>
      </c>
      <c r="B4" s="31"/>
      <c r="C4" s="24" t="s">
        <v>58</v>
      </c>
      <c r="D4" s="25" t="s">
        <v>98</v>
      </c>
      <c r="E4" s="27"/>
      <c r="F4" s="27"/>
      <c r="G4" s="37" t="s">
        <v>61</v>
      </c>
      <c r="H4"/>
      <c r="I4" s="38" t="str">
        <f>"(Math.Pow("&amp;C4&amp;",2) - Math.Pow("&amp;C5&amp;",2) + Math.Pow("&amp;C3&amp;",2) + Math.Pow("&amp;C2&amp;",2) - 2 * "&amp; C2 &amp;" * "&amp; C3 &amp;")/ (2*("&amp; C3 &amp;" - "&amp; C2 &amp;"))"</f>
        <v>(Math.Pow(LeftLeg,2) - Math.Pow(RightLeg,2) + Math.Pow(LongBase,2) + Math.Pow(ShortBase,2) - 2 * ShortBase * LongBase)/ (2*(LongBase - ShortBase))</v>
      </c>
    </row>
    <row r="5" spans="1:9" s="31" customFormat="1" ht="48.75" customHeight="1" x14ac:dyDescent="0.25">
      <c r="A5" s="31">
        <f t="shared" si="0"/>
        <v>4</v>
      </c>
      <c r="C5" s="24" t="s">
        <v>59</v>
      </c>
      <c r="D5" s="25" t="s">
        <v>98</v>
      </c>
      <c r="E5" s="27"/>
      <c r="F5" s="27"/>
      <c r="G5" s="24" t="s">
        <v>34</v>
      </c>
      <c r="H5" s="4"/>
      <c r="I5" s="38" t="str">
        <f>"Math.Sqrt(Math.Pow("&amp;C5&amp;",2.0) - Math.Pow("&amp;G3&amp;",2.0))"</f>
        <v>Math.Sqrt(Math.Pow(RightLeg,2.0) - Math.Pow(RightSmallBase,2.0))</v>
      </c>
    </row>
    <row r="6" spans="1:9" s="31" customFormat="1" ht="27.75" customHeight="1" x14ac:dyDescent="0.25">
      <c r="A6" s="31">
        <f t="shared" si="0"/>
        <v>5</v>
      </c>
      <c r="E6" s="27"/>
      <c r="F6" s="27"/>
      <c r="G6" s="37" t="s">
        <v>63</v>
      </c>
      <c r="H6" s="4"/>
      <c r="I6" s="38" t="str">
        <f>"Math.Round(Math.Asin("&amp;G5&amp;"/"&amp;C4&amp;"),4)"</f>
        <v>Math.Round(Math.Asin(Height/LeftLeg),4)</v>
      </c>
    </row>
    <row r="7" spans="1:9" s="31" customFormat="1" ht="27.75" customHeight="1" x14ac:dyDescent="0.25">
      <c r="A7" s="31">
        <v>6</v>
      </c>
      <c r="E7" s="27"/>
      <c r="F7" s="27"/>
      <c r="G7" s="37" t="s">
        <v>64</v>
      </c>
      <c r="H7" s="4"/>
      <c r="I7" s="38" t="str">
        <f>"Math.Round(Math.Asin("&amp;G5&amp;"/"&amp;C5&amp;"),4)"</f>
        <v>Math.Round(Math.Asin(Height/RightLeg),4)</v>
      </c>
    </row>
    <row r="8" spans="1:9" ht="38.25" customHeight="1" x14ac:dyDescent="0.25">
      <c r="A8" s="31">
        <v>7</v>
      </c>
      <c r="B8" s="31"/>
      <c r="C8" s="31"/>
      <c r="D8" s="31"/>
      <c r="E8" s="27"/>
      <c r="F8" s="27"/>
      <c r="G8" s="37" t="s">
        <v>65</v>
      </c>
      <c r="I8" s="38" t="str">
        <f>"Math.Round(Math.PI/2 + Math.Asin( "&amp;G5&amp;"/"&amp;C4&amp;"),4)"</f>
        <v>Math.Round(Math.PI/2 + Math.Asin( Height/LeftLeg),4)</v>
      </c>
    </row>
    <row r="9" spans="1:9" ht="38.25" customHeight="1" x14ac:dyDescent="0.25">
      <c r="A9" s="31">
        <v>8</v>
      </c>
      <c r="B9" s="31"/>
      <c r="C9" s="31"/>
      <c r="D9" s="31"/>
      <c r="E9" s="27"/>
      <c r="F9" s="27"/>
      <c r="G9" s="37" t="s">
        <v>71</v>
      </c>
      <c r="I9" s="38" t="str">
        <f>"Math.Round(Math.PI/2  + Math.Asin( "&amp;G5&amp;"/"&amp;C5&amp;"),4)"</f>
        <v>Math.Round(Math.PI/2  + Math.Asin( Height/RightLeg),4)</v>
      </c>
    </row>
    <row r="10" spans="1:9" ht="27.75" customHeight="1" x14ac:dyDescent="0.25">
      <c r="A10" s="31">
        <v>9</v>
      </c>
      <c r="B10" s="31"/>
      <c r="C10" s="31"/>
      <c r="D10" s="31"/>
      <c r="E10" s="27"/>
      <c r="F10" s="27"/>
      <c r="G10" s="37" t="s">
        <v>72</v>
      </c>
      <c r="I10" s="38" t="str">
        <f>G6&amp;" * 180/Math.PI"</f>
        <v>LeftRadianAngle_LongBase * 180/Math.PI</v>
      </c>
    </row>
    <row r="11" spans="1:9" ht="27.75" customHeight="1" x14ac:dyDescent="0.25">
      <c r="A11" s="31">
        <v>10</v>
      </c>
      <c r="B11" s="31"/>
      <c r="C11" s="31"/>
      <c r="D11" s="31"/>
      <c r="E11" s="27"/>
      <c r="F11" s="27"/>
      <c r="G11" s="37" t="s">
        <v>73</v>
      </c>
      <c r="I11" s="38" t="str">
        <f t="shared" ref="I11:I13" si="1">G7&amp;" * 180/Math.PI"</f>
        <v>RightRadianAngle_LongBase * 180/Math.PI</v>
      </c>
    </row>
    <row r="12" spans="1:9" ht="27.75" customHeight="1" x14ac:dyDescent="0.25">
      <c r="A12" s="31">
        <v>11</v>
      </c>
      <c r="B12" s="31"/>
      <c r="C12" s="31"/>
      <c r="D12" s="31"/>
      <c r="E12" s="27"/>
      <c r="F12" s="27"/>
      <c r="G12" s="37" t="s">
        <v>74</v>
      </c>
      <c r="I12" s="38" t="str">
        <f t="shared" si="1"/>
        <v>LeftRadianAngle_ShortBase * 180/Math.PI</v>
      </c>
    </row>
    <row r="13" spans="1:9" ht="27.75" customHeight="1" x14ac:dyDescent="0.25">
      <c r="A13" s="31">
        <v>12</v>
      </c>
      <c r="B13" s="31"/>
      <c r="C13" s="31"/>
      <c r="D13" s="31"/>
      <c r="E13" s="27"/>
      <c r="F13" s="27"/>
      <c r="G13" s="37" t="s">
        <v>75</v>
      </c>
      <c r="I13" s="38" t="str">
        <f t="shared" si="1"/>
        <v>RightRadianAngle_ShortBase * 180/Math.PI</v>
      </c>
    </row>
    <row r="14" spans="1:9" x14ac:dyDescent="0.25">
      <c r="A14" s="31"/>
      <c r="B14" s="31"/>
      <c r="C14" s="31"/>
      <c r="D14" s="31"/>
      <c r="E14" s="27"/>
      <c r="F14" s="27"/>
      <c r="G14" s="27"/>
      <c r="I14" s="27"/>
    </row>
    <row r="15" spans="1:9" x14ac:dyDescent="0.25">
      <c r="A15" s="31"/>
      <c r="B15" s="31"/>
      <c r="C15" s="31"/>
      <c r="D15" s="31"/>
      <c r="E15" s="27"/>
      <c r="F15" s="27"/>
      <c r="G15" s="27"/>
      <c r="I15" s="35"/>
    </row>
    <row r="16" spans="1:9" x14ac:dyDescent="0.25">
      <c r="A16" s="31"/>
      <c r="B16" s="31"/>
      <c r="C16" s="31"/>
      <c r="D16" s="31"/>
      <c r="E16" s="27"/>
      <c r="F16" s="27"/>
      <c r="G16" s="27"/>
      <c r="H16" s="40"/>
      <c r="I16" s="27"/>
    </row>
    <row r="17" spans="1:9" x14ac:dyDescent="0.25">
      <c r="A17" s="31"/>
      <c r="B17" s="31"/>
      <c r="C17" s="31"/>
      <c r="D17" s="31"/>
      <c r="E17" s="27"/>
      <c r="F17" s="27"/>
      <c r="G17" s="27"/>
      <c r="I17" s="27"/>
    </row>
    <row r="18" spans="1:9" x14ac:dyDescent="0.25">
      <c r="A18" s="31"/>
      <c r="B18" s="31"/>
      <c r="C18" s="31"/>
      <c r="D18" s="35"/>
      <c r="E18" s="27"/>
      <c r="F18" s="27"/>
      <c r="G18" s="27"/>
      <c r="I18" s="27"/>
    </row>
    <row r="19" spans="1:9" x14ac:dyDescent="0.25">
      <c r="A19" s="31"/>
      <c r="B19" s="31"/>
      <c r="C19" s="31"/>
      <c r="D19" s="31"/>
      <c r="E19" s="27"/>
      <c r="F19" s="27"/>
      <c r="G19" s="27"/>
      <c r="I19" s="27"/>
    </row>
    <row r="20" spans="1:9" x14ac:dyDescent="0.25">
      <c r="A20" s="31"/>
      <c r="B20" s="31"/>
      <c r="C20" s="31"/>
      <c r="D20" s="31"/>
      <c r="E20" s="27"/>
      <c r="F20" s="27"/>
      <c r="G20" s="27"/>
      <c r="I20" s="27"/>
    </row>
    <row r="21" spans="1:9" x14ac:dyDescent="0.25">
      <c r="A21" s="31"/>
      <c r="B21" s="31"/>
      <c r="C21" s="31"/>
      <c r="D21" s="31"/>
      <c r="E21" s="27"/>
      <c r="F21" s="27"/>
      <c r="G21" s="27"/>
      <c r="I21" s="27"/>
    </row>
    <row r="22" spans="1:9" x14ac:dyDescent="0.25">
      <c r="A22" s="31"/>
      <c r="B22" s="31"/>
      <c r="C22" s="31"/>
      <c r="D22" s="31"/>
      <c r="E22" s="27"/>
      <c r="F22" s="27"/>
      <c r="G22" s="27"/>
      <c r="I22" s="27"/>
    </row>
    <row r="23" spans="1:9" x14ac:dyDescent="0.25">
      <c r="A23" s="31"/>
      <c r="B23" s="31"/>
      <c r="C23" s="31"/>
      <c r="D23" s="31"/>
      <c r="E23" s="27"/>
      <c r="F23" s="27"/>
      <c r="G23" s="27"/>
      <c r="I23" s="27"/>
    </row>
    <row r="24" spans="1:9" x14ac:dyDescent="0.25">
      <c r="A24" s="31"/>
      <c r="B24" s="31"/>
      <c r="C24" s="31"/>
      <c r="D24" s="31"/>
      <c r="E24" s="27"/>
      <c r="F24" s="27"/>
      <c r="G24" s="27"/>
      <c r="I24" s="27"/>
    </row>
    <row r="25" spans="1:9" x14ac:dyDescent="0.25">
      <c r="A25" s="31"/>
      <c r="B25" s="31"/>
      <c r="C25" s="31"/>
      <c r="D25" s="31"/>
      <c r="E25" s="27"/>
      <c r="F25" s="27"/>
      <c r="G25" s="27"/>
      <c r="I25" s="27"/>
    </row>
    <row r="26" spans="1:9" x14ac:dyDescent="0.25">
      <c r="A26" s="31"/>
      <c r="B26" s="31"/>
      <c r="C26" s="31"/>
      <c r="D26" s="31"/>
      <c r="E26" s="27"/>
      <c r="F26" s="27"/>
      <c r="G26" s="27"/>
      <c r="I26" s="27"/>
    </row>
    <row r="27" spans="1:9" x14ac:dyDescent="0.25">
      <c r="A27" s="31"/>
      <c r="B27" s="31"/>
      <c r="C27" s="31"/>
      <c r="D27" s="31"/>
      <c r="E27" s="27"/>
      <c r="F27" s="27"/>
      <c r="G27" s="27"/>
      <c r="I27" s="27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3C590-8674-491E-908C-B7F826C75512}">
  <sheetPr codeName="Tabelle5"/>
  <dimension ref="A1:F46"/>
  <sheetViews>
    <sheetView workbookViewId="0">
      <selection activeCell="B3" sqref="B3"/>
    </sheetView>
  </sheetViews>
  <sheetFormatPr baseColWidth="10" defaultRowHeight="15" x14ac:dyDescent="0.25"/>
  <cols>
    <col min="1" max="1" width="71.7109375" customWidth="1"/>
    <col min="2" max="2" width="28" bestFit="1" customWidth="1"/>
    <col min="3" max="3" width="16.7109375" customWidth="1"/>
    <col min="5" max="5" width="19.85546875" customWidth="1"/>
    <col min="6" max="6" width="32.42578125" style="44" customWidth="1"/>
  </cols>
  <sheetData>
    <row r="1" spans="1:6" s="51" customFormat="1" ht="33" customHeight="1" x14ac:dyDescent="0.25">
      <c r="A1" s="63" t="s">
        <v>82</v>
      </c>
      <c r="B1" s="49" t="s">
        <v>81</v>
      </c>
      <c r="C1" s="52"/>
      <c r="F1" s="53"/>
    </row>
    <row r="2" spans="1:6" x14ac:dyDescent="0.25">
      <c r="A2" t="s">
        <v>38</v>
      </c>
      <c r="B2" s="47" t="s">
        <v>55</v>
      </c>
      <c r="C2" s="2" t="s">
        <v>0</v>
      </c>
      <c r="D2" s="2" t="s">
        <v>76</v>
      </c>
      <c r="E2" s="2" t="s">
        <v>24</v>
      </c>
      <c r="F2" s="2" t="s">
        <v>79</v>
      </c>
    </row>
    <row r="3" spans="1:6" x14ac:dyDescent="0.25">
      <c r="A3" t="s">
        <v>39</v>
      </c>
      <c r="B3" s="46" t="s">
        <v>54</v>
      </c>
      <c r="C3" s="56" t="str" cm="1">
        <f t="array" aca="1" ref="C3" ca="1">INDIRECT("'" &amp; $B$3 &amp; "'!c"&amp;ROW(B3)-1)</f>
        <v>Radius</v>
      </c>
      <c r="D3" s="42" t="str" cm="1">
        <f t="array" aca="1" ref="D3" ca="1">INDIRECT("'" &amp; $B$3 &amp; "'!d"&amp;ROW(C3)-1)</f>
        <v>10.0</v>
      </c>
      <c r="E3" s="6" t="str" cm="1">
        <f t="array" aca="1" ref="E3" ca="1">INDIRECT("'" &amp; $B$3 &amp; "'!g"&amp;ROW(D3)-1)</f>
        <v>Diameter</v>
      </c>
      <c r="F3" s="45" t="str" cm="1">
        <f t="array" aca="1" ref="F3" ca="1">INDIRECT("'" &amp; $B$3 &amp; "'!i"&amp;ROW(E3)-1)</f>
        <v>2 * Radius</v>
      </c>
    </row>
    <row r="4" spans="1:6" x14ac:dyDescent="0.25">
      <c r="A4" t="s">
        <v>40</v>
      </c>
    </row>
    <row r="5" spans="1:6" x14ac:dyDescent="0.25">
      <c r="A5" t="s">
        <v>41</v>
      </c>
      <c r="B5" s="41" t="s">
        <v>80</v>
      </c>
      <c r="D5" s="1"/>
    </row>
    <row r="6" spans="1:6" x14ac:dyDescent="0.25">
      <c r="A6" t="s">
        <v>38</v>
      </c>
      <c r="B6" s="50" t="str" cm="1">
        <f t="array" aca="1" ref="B6" ca="1">INDIRECT("'" &amp; $B$3 &amp; "'!b2")</f>
        <v>Circle</v>
      </c>
    </row>
    <row r="7" spans="1:6" x14ac:dyDescent="0.25">
      <c r="A7" t="str">
        <f ca="1">"namespace PolygonTest"&amp;B6</f>
        <v>namespace PolygonTestCircle</v>
      </c>
      <c r="D7" s="1"/>
    </row>
    <row r="8" spans="1:6" x14ac:dyDescent="0.25">
      <c r="A8" t="s">
        <v>42</v>
      </c>
      <c r="B8" s="41" t="s">
        <v>77</v>
      </c>
    </row>
    <row r="9" spans="1:6" x14ac:dyDescent="0.25">
      <c r="A9" t="s">
        <v>43</v>
      </c>
      <c r="B9" s="43" t="str" cm="1">
        <f t="array" aca="1" ref="B9" ca="1">INDIRECT("'" &amp; $B$3 &amp; "'!e3")</f>
        <v>Math.PI * Math.Pow(Radius,2)</v>
      </c>
      <c r="C9" s="1"/>
    </row>
    <row r="10" spans="1:6" x14ac:dyDescent="0.25">
      <c r="A10" t="s">
        <v>44</v>
      </c>
    </row>
    <row r="11" spans="1:6" x14ac:dyDescent="0.25">
      <c r="A11" s="7" t="str">
        <f ca="1">"    public sealed class "&amp;B6&amp;"Polygon"</f>
        <v xml:space="preserve">    public sealed class CirclePolygon</v>
      </c>
      <c r="B11" s="41" t="s">
        <v>78</v>
      </c>
      <c r="C11" s="1"/>
      <c r="D11" s="1"/>
    </row>
    <row r="12" spans="1:6" x14ac:dyDescent="0.25">
      <c r="A12" t="s">
        <v>45</v>
      </c>
      <c r="B12" s="43" t="str" cm="1">
        <f t="array" aca="1" ref="B12" ca="1">INDIRECT("'" &amp; $B$3 &amp; "'!f3")</f>
        <v>2 * Math.PI * Radius</v>
      </c>
      <c r="D12" s="1"/>
    </row>
    <row r="13" spans="1:6" s="1" customFormat="1" x14ac:dyDescent="0.25">
      <c r="A13" s="1" t="s">
        <v>89</v>
      </c>
      <c r="C13"/>
      <c r="F13" s="44"/>
    </row>
    <row r="14" spans="1:6" x14ac:dyDescent="0.25">
      <c r="A14" s="6" t="str">
        <f ca="1">"        private double m_"&amp;C3&amp;" = "&amp;D3&amp;";"</f>
        <v xml:space="preserve">        private double m_Radius = 10.0;</v>
      </c>
      <c r="B14" s="52" t="s">
        <v>99</v>
      </c>
      <c r="C14" s="1"/>
    </row>
    <row r="15" spans="1:6" s="1" customFormat="1" x14ac:dyDescent="0.25">
      <c r="B15" s="52" t="s">
        <v>100</v>
      </c>
      <c r="D15"/>
      <c r="F15" s="44"/>
    </row>
    <row r="16" spans="1:6" x14ac:dyDescent="0.25">
      <c r="A16" s="1" t="s">
        <v>90</v>
      </c>
      <c r="B16" s="52" t="s">
        <v>104</v>
      </c>
      <c r="C16" s="1"/>
    </row>
    <row r="17" spans="1:6" x14ac:dyDescent="0.25">
      <c r="A17" s="6" t="str">
        <f ca="1">"        public double "&amp;C3&amp;" { get { return this.m_"&amp;C3&amp;"; }  }"</f>
        <v xml:space="preserve">        public double Radius { get { return this.m_Radius; }  }</v>
      </c>
      <c r="B17" s="52" t="s">
        <v>102</v>
      </c>
    </row>
    <row r="18" spans="1:6" x14ac:dyDescent="0.25">
      <c r="A18" t="s">
        <v>46</v>
      </c>
      <c r="B18" s="52" t="s">
        <v>103</v>
      </c>
    </row>
    <row r="19" spans="1:6" s="1" customFormat="1" x14ac:dyDescent="0.25">
      <c r="A19" s="1" t="s">
        <v>91</v>
      </c>
      <c r="C19"/>
      <c r="D19"/>
      <c r="F19" s="44"/>
    </row>
    <row r="20" spans="1:6" s="1" customFormat="1" x14ac:dyDescent="0.25">
      <c r="A20" s="6" t="str">
        <f ca="1">"        public double "&amp;E3&amp;" { get { return "&amp;F3&amp;"; }  }"</f>
        <v xml:space="preserve">        public double Diameter { get { return 2 * Radius; }  }</v>
      </c>
      <c r="C20"/>
      <c r="D20" s="54"/>
      <c r="F20" s="44"/>
    </row>
    <row r="21" spans="1:6" s="1" customFormat="1" x14ac:dyDescent="0.25">
      <c r="C21"/>
      <c r="D21"/>
      <c r="F21" s="44"/>
    </row>
    <row r="22" spans="1:6" x14ac:dyDescent="0.25">
      <c r="A22" t="s">
        <v>87</v>
      </c>
      <c r="D22" s="54"/>
    </row>
    <row r="23" spans="1:6" x14ac:dyDescent="0.25">
      <c r="A23" s="43" t="str">
        <f ca="1">"        public double Area { get { return "&amp;B9&amp;"; } }"</f>
        <v xml:space="preserve">        public double Area { get { return Math.PI * Math.Pow(Radius,2); } }</v>
      </c>
      <c r="C23" s="54"/>
      <c r="D23" s="54"/>
    </row>
    <row r="24" spans="1:6" x14ac:dyDescent="0.25">
      <c r="A24" s="43" t="str">
        <f ca="1">"        public double Perimeter { get { return "&amp;B12&amp;"; } }"</f>
        <v xml:space="preserve">        public double Perimeter { get { return 2 * Math.PI * Radius; } }</v>
      </c>
    </row>
    <row r="25" spans="1:6" x14ac:dyDescent="0.25">
      <c r="A25" t="s">
        <v>47</v>
      </c>
      <c r="C25" s="54"/>
      <c r="D25" s="1"/>
    </row>
    <row r="26" spans="1:6" x14ac:dyDescent="0.25">
      <c r="A26" t="s">
        <v>48</v>
      </c>
      <c r="C26" s="54"/>
      <c r="D26" s="54"/>
    </row>
    <row r="27" spans="1:6" x14ac:dyDescent="0.25">
      <c r="A27" t="s">
        <v>1</v>
      </c>
    </row>
    <row r="28" spans="1:6" s="54" customFormat="1" x14ac:dyDescent="0.25">
      <c r="A28" s="54" t="s">
        <v>88</v>
      </c>
      <c r="C28" s="1"/>
      <c r="D28"/>
      <c r="F28" s="55"/>
    </row>
    <row r="29" spans="1:6" x14ac:dyDescent="0.25">
      <c r="A29" s="7" t="str">
        <f ca="1">"            var result = string.Format(""The "&amp;B6&amp;" object:\r\n   Area = {0}\r\n   Perimeter = {1}"", this.Area, this.Perimeter);"</f>
        <v xml:space="preserve">            var result = string.Format("The Circle object:\r\n   Area = {0}\r\n   Perimeter = {1}", this.Area, this.Perimeter);</v>
      </c>
      <c r="B29" s="54"/>
      <c r="C29" s="54"/>
    </row>
    <row r="30" spans="1:6" s="54" customFormat="1" x14ac:dyDescent="0.25">
      <c r="A30" s="54" t="s">
        <v>86</v>
      </c>
      <c r="C30"/>
      <c r="D30"/>
      <c r="F30" s="55"/>
    </row>
    <row r="31" spans="1:6" s="54" customFormat="1" x14ac:dyDescent="0.25">
      <c r="A31" s="54" t="str">
        <f>"            result += ""\r\n--------\r\n Main attributes:"";"</f>
        <v xml:space="preserve">            result += "\r\n--------\r\n Main attributes:";</v>
      </c>
      <c r="C31"/>
      <c r="D31"/>
      <c r="F31" s="55"/>
    </row>
    <row r="32" spans="1:6" x14ac:dyDescent="0.25">
      <c r="A32" s="6" t="str">
        <f ca="1">"            result += string.Format(""\r\n   "&amp;C3&amp;" = {0}"", this."&amp;C3&amp;");"</f>
        <v xml:space="preserve">            result += string.Format("\r\n   Radius = {0}", this.Radius);</v>
      </c>
    </row>
    <row r="33" spans="1:6" s="1" customFormat="1" x14ac:dyDescent="0.25">
      <c r="A33" s="54" t="s">
        <v>93</v>
      </c>
      <c r="C33"/>
      <c r="D33"/>
      <c r="F33" s="44"/>
    </row>
    <row r="34" spans="1:6" s="54" customFormat="1" x14ac:dyDescent="0.25">
      <c r="A34" s="54" t="str">
        <f>"            result += ""\r\n--------\r\n Derived attributes:"";"</f>
        <v xml:space="preserve">            result += "\r\n--------\r\n Derived attributes:";</v>
      </c>
      <c r="C34"/>
      <c r="D34"/>
      <c r="F34" s="55"/>
    </row>
    <row r="35" spans="1:6" x14ac:dyDescent="0.25">
      <c r="A35" s="6" t="str">
        <f ca="1">"            result += string.Format(""\r\n   "&amp;E3&amp;" = {0}"", this."&amp;E3&amp;");"</f>
        <v xml:space="preserve">            result += string.Format("\r\n   Diameter = {0}", this.Diameter);</v>
      </c>
    </row>
    <row r="36" spans="1:6" x14ac:dyDescent="0.25">
      <c r="A36" t="s">
        <v>49</v>
      </c>
      <c r="C36" s="1"/>
    </row>
    <row r="37" spans="1:6" x14ac:dyDescent="0.25">
      <c r="A37" t="s">
        <v>2</v>
      </c>
    </row>
    <row r="38" spans="1:6" x14ac:dyDescent="0.25">
      <c r="A38" t="s">
        <v>47</v>
      </c>
    </row>
    <row r="39" spans="1:6" x14ac:dyDescent="0.25">
      <c r="A39" t="s">
        <v>50</v>
      </c>
    </row>
    <row r="40" spans="1:6" x14ac:dyDescent="0.25">
      <c r="A40" t="s">
        <v>1</v>
      </c>
    </row>
    <row r="41" spans="1:6" x14ac:dyDescent="0.25">
      <c r="A41" s="7" t="str">
        <f ca="1">"            var polygon = new "&amp;B6&amp;"Polygon();"</f>
        <v xml:space="preserve">            var polygon = new CirclePolygon();</v>
      </c>
    </row>
    <row r="42" spans="1:6" x14ac:dyDescent="0.25">
      <c r="A42" s="1"/>
    </row>
    <row r="43" spans="1:6" x14ac:dyDescent="0.25">
      <c r="A43" t="s">
        <v>92</v>
      </c>
    </row>
    <row r="44" spans="1:6" x14ac:dyDescent="0.25">
      <c r="A44" t="s">
        <v>2</v>
      </c>
    </row>
    <row r="45" spans="1:6" x14ac:dyDescent="0.25">
      <c r="A45" t="s">
        <v>51</v>
      </c>
    </row>
    <row r="46" spans="1:6" x14ac:dyDescent="0.25">
      <c r="A46" t="s">
        <v>52</v>
      </c>
    </row>
  </sheetData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95F722-086E-413E-9025-2F1689E81488}">
          <x14:formula1>
            <xm:f>'Models-Names'!$A$2:$A$4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C55F0-CD3B-439D-B7CD-048FAC7C0BEE}">
  <sheetPr codeName="Tabelle6"/>
  <dimension ref="A1:F49"/>
  <sheetViews>
    <sheetView workbookViewId="0">
      <selection activeCell="B3" sqref="B3"/>
    </sheetView>
  </sheetViews>
  <sheetFormatPr baseColWidth="10" defaultRowHeight="15" x14ac:dyDescent="0.25"/>
  <cols>
    <col min="1" max="1" width="71.7109375" style="1" customWidth="1"/>
    <col min="2" max="2" width="28" style="1" bestFit="1" customWidth="1"/>
    <col min="3" max="3" width="16.7109375" style="1" customWidth="1"/>
    <col min="4" max="4" width="11.42578125" style="1"/>
    <col min="5" max="5" width="19.85546875" style="1" customWidth="1"/>
    <col min="6" max="6" width="32.42578125" style="44" customWidth="1"/>
    <col min="7" max="16384" width="11.42578125" style="1"/>
  </cols>
  <sheetData>
    <row r="1" spans="1:6" s="51" customFormat="1" ht="33" customHeight="1" x14ac:dyDescent="0.25">
      <c r="A1" s="63" t="s">
        <v>82</v>
      </c>
      <c r="B1" s="49" t="s">
        <v>81</v>
      </c>
      <c r="C1" s="52"/>
      <c r="F1" s="53"/>
    </row>
    <row r="2" spans="1:6" x14ac:dyDescent="0.25">
      <c r="A2" s="1" t="s">
        <v>38</v>
      </c>
      <c r="B2" s="47" t="s">
        <v>55</v>
      </c>
      <c r="C2" s="2" t="s">
        <v>0</v>
      </c>
      <c r="D2" s="2" t="s">
        <v>76</v>
      </c>
      <c r="E2" s="2" t="s">
        <v>24</v>
      </c>
      <c r="F2" s="2" t="s">
        <v>79</v>
      </c>
    </row>
    <row r="3" spans="1:6" x14ac:dyDescent="0.25">
      <c r="A3" s="1" t="s">
        <v>39</v>
      </c>
      <c r="B3" s="46" t="s">
        <v>83</v>
      </c>
      <c r="C3" s="56" t="str" cm="1">
        <f t="array" aca="1" ref="C3" ca="1">INDIRECT("'" &amp; $B$3 &amp; "'!c"&amp;ROW(B3)-1)</f>
        <v>Width</v>
      </c>
      <c r="D3" s="62" t="str" cm="1">
        <f t="array" aca="1" ref="D3" ca="1">INDIRECT("'" &amp; $B$3 &amp; "'!d"&amp;ROW(C3)-1)</f>
        <v>10.0</v>
      </c>
      <c r="E3" s="6" t="str" cm="1">
        <f t="array" aca="1" ref="E3" ca="1">INDIRECT("'" &amp; $B$3 &amp; "'!g"&amp;ROW(D3)-1)</f>
        <v>Diagonal</v>
      </c>
      <c r="F3" s="45" t="str" cm="1">
        <f t="array" aca="1" ref="F3" ca="1">INDIRECT("'" &amp; $B$3 &amp; "'!i"&amp;ROW(E3)-1)</f>
        <v>Math.Sqrt(Math.Pow(Width,2.0)  + Math.Pow(Height,2.0))</v>
      </c>
    </row>
    <row r="4" spans="1:6" x14ac:dyDescent="0.25">
      <c r="A4" s="1" t="s">
        <v>40</v>
      </c>
      <c r="C4" s="56" t="str" cm="1">
        <f t="array" aca="1" ref="C4" ca="1">INDIRECT("'" &amp; $B$3 &amp; "'!c"&amp;ROW(B4)-1)</f>
        <v>Height</v>
      </c>
      <c r="D4" s="62" t="str" cm="1">
        <f t="array" aca="1" ref="D4" ca="1">INDIRECT("'" &amp; $B$3 &amp; "'!d"&amp;ROW(C4)-1)</f>
        <v>15.0</v>
      </c>
    </row>
    <row r="5" spans="1:6" x14ac:dyDescent="0.25">
      <c r="A5" s="1" t="s">
        <v>41</v>
      </c>
      <c r="B5" s="41" t="s">
        <v>80</v>
      </c>
    </row>
    <row r="6" spans="1:6" x14ac:dyDescent="0.25">
      <c r="A6" s="1" t="s">
        <v>38</v>
      </c>
      <c r="B6" s="50" t="str" cm="1">
        <f t="array" aca="1" ref="B6" ca="1">INDIRECT("'" &amp; $B$3 &amp; "'!b2")</f>
        <v>Rectangle</v>
      </c>
    </row>
    <row r="7" spans="1:6" x14ac:dyDescent="0.25">
      <c r="A7" s="1" t="s">
        <v>53</v>
      </c>
    </row>
    <row r="8" spans="1:6" x14ac:dyDescent="0.25">
      <c r="A8" s="1" t="s">
        <v>42</v>
      </c>
      <c r="B8" s="41" t="s">
        <v>77</v>
      </c>
    </row>
    <row r="9" spans="1:6" x14ac:dyDescent="0.25">
      <c r="A9" s="1" t="s">
        <v>43</v>
      </c>
      <c r="B9" s="43" t="str" cm="1">
        <f t="array" aca="1" ref="B9" ca="1">INDIRECT("'" &amp; $B$3 &amp; "'!e3")</f>
        <v>Width * Height</v>
      </c>
    </row>
    <row r="10" spans="1:6" x14ac:dyDescent="0.25">
      <c r="A10" s="1" t="s">
        <v>44</v>
      </c>
    </row>
    <row r="11" spans="1:6" x14ac:dyDescent="0.25">
      <c r="A11" s="7" t="str">
        <f ca="1">"    public sealed class "&amp;B6&amp;"Polygon"</f>
        <v xml:space="preserve">    public sealed class RectanglePolygon</v>
      </c>
      <c r="B11" s="41" t="s">
        <v>78</v>
      </c>
    </row>
    <row r="12" spans="1:6" x14ac:dyDescent="0.25">
      <c r="A12" s="1" t="s">
        <v>45</v>
      </c>
      <c r="B12" s="43" t="str" cm="1">
        <f t="array" aca="1" ref="B12" ca="1">INDIRECT("'" &amp; $B$3 &amp; "'!f3")</f>
        <v xml:space="preserve"> 2 * Width + 2 * Height</v>
      </c>
    </row>
    <row r="13" spans="1:6" x14ac:dyDescent="0.25">
      <c r="A13" s="1" t="s">
        <v>89</v>
      </c>
    </row>
    <row r="14" spans="1:6" x14ac:dyDescent="0.25">
      <c r="A14" s="6" t="str">
        <f ca="1">"        private double m_"&amp;C3&amp;" = "&amp;D3&amp;";"</f>
        <v xml:space="preserve">        private double m_Width = 10.0;</v>
      </c>
      <c r="B14" s="52" t="s">
        <v>99</v>
      </c>
    </row>
    <row r="15" spans="1:6" x14ac:dyDescent="0.25">
      <c r="A15" s="6" t="str">
        <f ca="1">"        private double m_"&amp;C4&amp;" = "&amp;D4&amp;";"</f>
        <v xml:space="preserve">        private double m_Height = 15.0;</v>
      </c>
      <c r="B15" s="52" t="s">
        <v>100</v>
      </c>
    </row>
    <row r="16" spans="1:6" x14ac:dyDescent="0.25">
      <c r="B16" s="52" t="s">
        <v>101</v>
      </c>
    </row>
    <row r="17" spans="1:6" x14ac:dyDescent="0.25">
      <c r="A17" s="1" t="s">
        <v>90</v>
      </c>
      <c r="B17" s="52" t="s">
        <v>102</v>
      </c>
    </row>
    <row r="18" spans="1:6" x14ac:dyDescent="0.25">
      <c r="A18" s="6" t="str">
        <f ca="1">"        public double "&amp;C3&amp;" { get { return this.m_"&amp;C3&amp;"; }  }"</f>
        <v xml:space="preserve">        public double Width { get { return this.m_Width; }  }</v>
      </c>
      <c r="B18" s="52" t="s">
        <v>103</v>
      </c>
    </row>
    <row r="19" spans="1:6" x14ac:dyDescent="0.25">
      <c r="A19" s="6" t="str">
        <f ca="1">"        public double "&amp;C4&amp;" { get { return this.m_"&amp;C4&amp;"; }  }"</f>
        <v xml:space="preserve">        public double Height { get { return this.m_Height; }  }</v>
      </c>
    </row>
    <row r="20" spans="1:6" x14ac:dyDescent="0.25">
      <c r="A20" s="1" t="s">
        <v>46</v>
      </c>
    </row>
    <row r="21" spans="1:6" x14ac:dyDescent="0.25">
      <c r="A21" s="1" t="s">
        <v>91</v>
      </c>
    </row>
    <row r="22" spans="1:6" x14ac:dyDescent="0.25">
      <c r="A22" s="6" t="str">
        <f ca="1">"        public double "&amp;E3&amp;" { get { return "&amp;F3&amp;"; }  }"</f>
        <v xml:space="preserve">        public double Diagonal { get { return Math.Sqrt(Math.Pow(Width,2.0)  + Math.Pow(Height,2.0)); }  }</v>
      </c>
    </row>
    <row r="24" spans="1:6" x14ac:dyDescent="0.25">
      <c r="A24" s="1" t="s">
        <v>87</v>
      </c>
    </row>
    <row r="25" spans="1:6" x14ac:dyDescent="0.25">
      <c r="A25" s="43" t="str">
        <f ca="1">"        public double Area { get { return "&amp;B9&amp;"; } }"</f>
        <v xml:space="preserve">        public double Area { get { return Width * Height; } }</v>
      </c>
    </row>
    <row r="26" spans="1:6" x14ac:dyDescent="0.25">
      <c r="A26" s="43" t="str">
        <f ca="1">"        public double Perimeter { get { return "&amp;B12&amp;"; } }"</f>
        <v xml:space="preserve">        public double Perimeter { get { return  2 * Width + 2 * Height; } }</v>
      </c>
    </row>
    <row r="27" spans="1:6" x14ac:dyDescent="0.25">
      <c r="A27" s="1" t="s">
        <v>47</v>
      </c>
      <c r="D27" s="54"/>
    </row>
    <row r="28" spans="1:6" s="54" customFormat="1" x14ac:dyDescent="0.25">
      <c r="A28" s="1" t="s">
        <v>48</v>
      </c>
      <c r="C28" s="1"/>
      <c r="D28" s="1"/>
      <c r="F28" s="55"/>
    </row>
    <row r="29" spans="1:6" x14ac:dyDescent="0.25">
      <c r="A29" s="1" t="s">
        <v>1</v>
      </c>
      <c r="B29" s="54"/>
      <c r="C29" s="54"/>
      <c r="D29" s="54"/>
    </row>
    <row r="30" spans="1:6" s="54" customFormat="1" x14ac:dyDescent="0.25">
      <c r="A30" s="54" t="s">
        <v>88</v>
      </c>
      <c r="C30" s="1"/>
      <c r="F30" s="55"/>
    </row>
    <row r="31" spans="1:6" s="54" customFormat="1" x14ac:dyDescent="0.25">
      <c r="A31" s="7" t="str">
        <f>"            var result = string.Format(""The "&amp;B8&amp;" object:\r\n   Area = {0}\r\n   Perimeter = {1}"", this.Area, this.Perimeter);"</f>
        <v xml:space="preserve">            var result = string.Format("The Area Formula  object:\r\n   Area = {0}\r\n   Perimeter = {1}", this.Area, this.Perimeter);</v>
      </c>
      <c r="D31" s="1"/>
      <c r="F31" s="55"/>
    </row>
    <row r="32" spans="1:6" x14ac:dyDescent="0.25">
      <c r="A32" s="54" t="s">
        <v>86</v>
      </c>
      <c r="C32" s="54"/>
    </row>
    <row r="33" spans="1:6" x14ac:dyDescent="0.25">
      <c r="A33" s="54" t="str">
        <f>"            result += ""\r\n--------\r\n Main attributes:"";"</f>
        <v xml:space="preserve">            result += "\r\n--------\r\n Main attributes:";</v>
      </c>
      <c r="D33" s="54"/>
    </row>
    <row r="34" spans="1:6" s="54" customFormat="1" x14ac:dyDescent="0.25">
      <c r="A34" s="6" t="str">
        <f ca="1">"            result += string.Format(""\r\n   "&amp;C3&amp;" = {0}"", this."&amp;C3&amp;");"</f>
        <v xml:space="preserve">            result += string.Format("\r\n   Width = {0}", this.Width);</v>
      </c>
      <c r="C34" s="1"/>
      <c r="D34" s="1"/>
      <c r="F34" s="55"/>
    </row>
    <row r="35" spans="1:6" x14ac:dyDescent="0.25">
      <c r="A35" s="6" t="str">
        <f ca="1">"            result += string.Format(""\r\n   "&amp;C4&amp;" = {0}"", this."&amp;C4&amp;");"</f>
        <v xml:space="preserve">            result += string.Format("\r\n   Height = {0}", this.Height);</v>
      </c>
      <c r="C35" s="54"/>
    </row>
    <row r="36" spans="1:6" x14ac:dyDescent="0.25">
      <c r="A36" s="54" t="s">
        <v>93</v>
      </c>
    </row>
    <row r="37" spans="1:6" x14ac:dyDescent="0.25">
      <c r="A37" s="54" t="str">
        <f>"            result += ""\r\n--------\r\n Derived attributes:"";"</f>
        <v xml:space="preserve">            result += "\r\n--------\r\n Derived attributes:";</v>
      </c>
    </row>
    <row r="38" spans="1:6" x14ac:dyDescent="0.25">
      <c r="A38" s="6" t="str">
        <f ca="1">"            result += string.Format(""\r\n   "&amp;E3&amp;" = {0}"", this."&amp;E3&amp;");"</f>
        <v xml:space="preserve">            result += string.Format("\r\n   Diagonal = {0}", this.Diagonal);</v>
      </c>
    </row>
    <row r="39" spans="1:6" x14ac:dyDescent="0.25">
      <c r="A39" s="1" t="s">
        <v>49</v>
      </c>
    </row>
    <row r="40" spans="1:6" x14ac:dyDescent="0.25">
      <c r="A40" s="1" t="s">
        <v>2</v>
      </c>
    </row>
    <row r="41" spans="1:6" x14ac:dyDescent="0.25">
      <c r="A41" s="1" t="s">
        <v>47</v>
      </c>
    </row>
    <row r="42" spans="1:6" x14ac:dyDescent="0.25">
      <c r="A42" s="1" t="s">
        <v>50</v>
      </c>
    </row>
    <row r="43" spans="1:6" x14ac:dyDescent="0.25">
      <c r="A43" s="1" t="s">
        <v>1</v>
      </c>
    </row>
    <row r="44" spans="1:6" x14ac:dyDescent="0.25">
      <c r="A44" s="7" t="str">
        <f ca="1">"            var polygon = new "&amp;B6&amp;"Polygon();"</f>
        <v xml:space="preserve">            var polygon = new RectanglePolygon();</v>
      </c>
    </row>
    <row r="46" spans="1:6" x14ac:dyDescent="0.25">
      <c r="A46" s="1" t="s">
        <v>92</v>
      </c>
    </row>
    <row r="47" spans="1:6" x14ac:dyDescent="0.25">
      <c r="A47" s="1" t="s">
        <v>2</v>
      </c>
    </row>
    <row r="48" spans="1:6" x14ac:dyDescent="0.25">
      <c r="A48" s="1" t="s">
        <v>51</v>
      </c>
    </row>
    <row r="49" spans="1:1" x14ac:dyDescent="0.25">
      <c r="A49" s="1" t="s">
        <v>52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893125-7716-4635-97CD-86E0B42434EF}">
          <x14:formula1>
            <xm:f>'Models-Names'!$A$2:$A$4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2EFA2-E0CF-4C27-A3C2-FE1C1BA5A828}">
  <sheetPr codeName="Tabelle7"/>
  <dimension ref="A1:F77"/>
  <sheetViews>
    <sheetView workbookViewId="0">
      <selection activeCell="B3" sqref="B3"/>
    </sheetView>
  </sheetViews>
  <sheetFormatPr baseColWidth="10" defaultRowHeight="15" x14ac:dyDescent="0.25"/>
  <cols>
    <col min="1" max="1" width="71.7109375" style="1" customWidth="1"/>
    <col min="2" max="2" width="28" style="1" bestFit="1" customWidth="1"/>
    <col min="3" max="3" width="22.5703125" style="44" customWidth="1"/>
    <col min="4" max="4" width="11.42578125" style="1"/>
    <col min="5" max="5" width="27" style="1" customWidth="1"/>
    <col min="6" max="6" width="52.42578125" style="60" customWidth="1"/>
    <col min="7" max="16384" width="11.42578125" style="1"/>
  </cols>
  <sheetData>
    <row r="1" spans="1:6" s="51" customFormat="1" ht="33" customHeight="1" x14ac:dyDescent="0.25">
      <c r="A1" s="63" t="s">
        <v>82</v>
      </c>
      <c r="B1" s="49" t="s">
        <v>81</v>
      </c>
      <c r="C1" s="52"/>
      <c r="F1" s="57"/>
    </row>
    <row r="2" spans="1:6" x14ac:dyDescent="0.25">
      <c r="A2" s="1" t="s">
        <v>38</v>
      </c>
      <c r="B2" s="47" t="s">
        <v>55</v>
      </c>
      <c r="C2" s="2" t="s">
        <v>0</v>
      </c>
      <c r="D2" s="2" t="s">
        <v>76</v>
      </c>
      <c r="E2" s="2" t="s">
        <v>24</v>
      </c>
      <c r="F2" s="58" t="s">
        <v>79</v>
      </c>
    </row>
    <row r="3" spans="1:6" x14ac:dyDescent="0.25">
      <c r="A3" s="1" t="s">
        <v>39</v>
      </c>
      <c r="B3" s="46" t="s">
        <v>84</v>
      </c>
      <c r="C3" s="56" t="str" cm="1">
        <f t="array" aca="1" ref="C3" ca="1">INDIRECT("'" &amp; $B$3 &amp; "'!c"&amp;ROW(B3)-1)</f>
        <v>ShortBase</v>
      </c>
      <c r="D3" s="42" t="str" cm="1">
        <f t="array" aca="1" ref="D3" ca="1">INDIRECT("'" &amp; $B$3 &amp; "'!d"&amp;ROW(C3)-1)</f>
        <v>20.0</v>
      </c>
      <c r="E3" s="6" t="str" cm="1">
        <f t="array" aca="1" ref="E3" ca="1">INDIRECT("'" &amp; $B$3 &amp; "'!g"&amp;ROW(D3)-1)</f>
        <v>MiddleLine</v>
      </c>
      <c r="F3" s="59" t="str" cm="1">
        <f t="array" aca="1" ref="F3" ca="1">INDIRECT("'" &amp; $B$3 &amp; "'!i"&amp;ROW(E3)-1)</f>
        <v xml:space="preserve">(ShortBase + LongBase)/2 </v>
      </c>
    </row>
    <row r="4" spans="1:6" x14ac:dyDescent="0.25">
      <c r="A4" s="1" t="s">
        <v>40</v>
      </c>
      <c r="C4" s="56" t="str" cm="1">
        <f t="array" aca="1" ref="C4" ca="1">INDIRECT("'" &amp; $B$3 &amp; "'!c"&amp;ROW(B4)-1)</f>
        <v>LongBase</v>
      </c>
      <c r="D4" s="42" t="str" cm="1">
        <f t="array" aca="1" ref="D4" ca="1">INDIRECT("'" &amp; $B$3 &amp; "'!d"&amp;ROW(C4)-1)</f>
        <v>30.0</v>
      </c>
      <c r="E4" s="6" t="str" cm="1">
        <f t="array" aca="1" ref="E4" ca="1">INDIRECT("'" &amp; $B$3 &amp; "'!g"&amp;ROW(D4)-1)</f>
        <v>RightSmallBase</v>
      </c>
      <c r="F4" s="59" t="str" cm="1">
        <f t="array" aca="1" ref="F4" ca="1">INDIRECT("'" &amp; $B$3 &amp; "'!i"&amp;ROW(E4)-1)</f>
        <v>(Math.Pow(RightLeg,2) - Math.Pow(LeftLeg,2) + Math.Pow(LongBase,2) + Math.Pow(ShortBase,2) - 2 * ShortBase * LongBase)/ (2*(LongBase - ShortBase))</v>
      </c>
    </row>
    <row r="5" spans="1:6" x14ac:dyDescent="0.25">
      <c r="A5" s="1" t="s">
        <v>41</v>
      </c>
      <c r="B5" s="41" t="s">
        <v>80</v>
      </c>
      <c r="C5" s="56" t="str" cm="1">
        <f t="array" aca="1" ref="C5" ca="1">INDIRECT("'" &amp; $B$3 &amp; "'!c"&amp;ROW(B5)-1)</f>
        <v>LeftLeg</v>
      </c>
      <c r="D5" s="42" t="str" cm="1">
        <f t="array" aca="1" ref="D5" ca="1">INDIRECT("'" &amp; $B$3 &amp; "'!d"&amp;ROW(C5)-1)</f>
        <v>13.0</v>
      </c>
      <c r="E5" s="6" t="str" cm="1">
        <f t="array" aca="1" ref="E5" ca="1">INDIRECT("'" &amp; $B$3 &amp; "'!g"&amp;ROW(D5)-1)</f>
        <v>LeftSmallBase</v>
      </c>
      <c r="F5" s="59" t="str" cm="1">
        <f t="array" aca="1" ref="F5" ca="1">INDIRECT("'" &amp; $B$3 &amp; "'!i"&amp;ROW(E5)-1)</f>
        <v>(Math.Pow(LeftLeg,2) - Math.Pow(RightLeg,2) + Math.Pow(LongBase,2) + Math.Pow(ShortBase,2) - 2 * ShortBase * LongBase)/ (2*(LongBase - ShortBase))</v>
      </c>
    </row>
    <row r="6" spans="1:6" x14ac:dyDescent="0.25">
      <c r="A6" s="1" t="s">
        <v>38</v>
      </c>
      <c r="B6" s="50" t="str" cm="1">
        <f t="array" aca="1" ref="B6" ca="1">INDIRECT("'" &amp; $B$3 &amp; "'!b2")</f>
        <v>Trapezoid</v>
      </c>
      <c r="C6" s="56" t="str" cm="1">
        <f t="array" aca="1" ref="C6" ca="1">INDIRECT("'" &amp; $B$3 &amp; "'!c"&amp;ROW(B6)-1)</f>
        <v>RightLeg</v>
      </c>
      <c r="D6" s="42" t="str" cm="1">
        <f t="array" aca="1" ref="D6" ca="1">INDIRECT("'" &amp; $B$3 &amp; "'!d"&amp;ROW(C6)-1)</f>
        <v>13.0</v>
      </c>
      <c r="E6" s="6" t="str" cm="1">
        <f t="array" aca="1" ref="E6" ca="1">INDIRECT("'" &amp; $B$3 &amp; "'!g"&amp;ROW(D6)-1)</f>
        <v>Height</v>
      </c>
      <c r="F6" s="59" t="str" cm="1">
        <f t="array" aca="1" ref="F6" ca="1">INDIRECT("'" &amp; $B$3 &amp; "'!i"&amp;ROW(E6)-1)</f>
        <v>Math.Sqrt(Math.Pow(RightLeg,2.0) - Math.Pow(RightSmallBase,2.0))</v>
      </c>
    </row>
    <row r="7" spans="1:6" x14ac:dyDescent="0.25">
      <c r="A7" s="1" t="s">
        <v>53</v>
      </c>
      <c r="E7" s="6" t="str" cm="1">
        <f t="array" aca="1" ref="E7" ca="1">INDIRECT("'" &amp; $B$3 &amp; "'!g"&amp;ROW(D7)-1)</f>
        <v>LeftRadianAngle_LongBase</v>
      </c>
      <c r="F7" s="59" t="str" cm="1">
        <f t="array" aca="1" ref="F7" ca="1">INDIRECT("'" &amp; $B$3 &amp; "'!i"&amp;ROW(E7)-1)</f>
        <v>Math.Round(Math.Asin(Height/LeftLeg),4)</v>
      </c>
    </row>
    <row r="8" spans="1:6" x14ac:dyDescent="0.25">
      <c r="A8" s="1" t="s">
        <v>42</v>
      </c>
      <c r="B8" s="41" t="s">
        <v>77</v>
      </c>
      <c r="E8" s="6" t="str" cm="1">
        <f t="array" aca="1" ref="E8" ca="1">INDIRECT("'" &amp; $B$3 &amp; "'!g"&amp;ROW(D8)-1)</f>
        <v>RightRadianAngle_LongBase</v>
      </c>
      <c r="F8" s="59" t="str" cm="1">
        <f t="array" aca="1" ref="F8" ca="1">INDIRECT("'" &amp; $B$3 &amp; "'!i"&amp;ROW(E8)-1)</f>
        <v>Math.Round(Math.Asin(Height/RightLeg),4)</v>
      </c>
    </row>
    <row r="9" spans="1:6" x14ac:dyDescent="0.25">
      <c r="A9" s="1" t="s">
        <v>43</v>
      </c>
      <c r="B9" s="43" t="str" cm="1">
        <f t="array" aca="1" ref="B9" ca="1">INDIRECT("'" &amp; $B$3 &amp; "'!e3")</f>
        <v>MiddleLine * Height</v>
      </c>
      <c r="E9" s="6" t="str" cm="1">
        <f t="array" aca="1" ref="E9" ca="1">INDIRECT("'" &amp; $B$3 &amp; "'!g"&amp;ROW(D9)-1)</f>
        <v>LeftRadianAngle_ShortBase</v>
      </c>
      <c r="F9" s="59" t="str" cm="1">
        <f t="array" aca="1" ref="F9" ca="1">INDIRECT("'" &amp; $B$3 &amp; "'!i"&amp;ROW(E9)-1)</f>
        <v>Math.Round(Math.PI/2 + Math.Asin( Height/LeftLeg),4)</v>
      </c>
    </row>
    <row r="10" spans="1:6" x14ac:dyDescent="0.25">
      <c r="A10" s="1" t="s">
        <v>44</v>
      </c>
      <c r="E10" s="6" t="str" cm="1">
        <f t="array" aca="1" ref="E10" ca="1">INDIRECT("'" &amp; $B$3 &amp; "'!g"&amp;ROW(D10)-1)</f>
        <v>RightRadianAngle_ShortBase</v>
      </c>
      <c r="F10" s="59" t="str" cm="1">
        <f t="array" aca="1" ref="F10" ca="1">INDIRECT("'" &amp; $B$3 &amp; "'!i"&amp;ROW(E10)-1)</f>
        <v>Math.Round(Math.PI/2  + Math.Asin( Height/RightLeg),4)</v>
      </c>
    </row>
    <row r="11" spans="1:6" x14ac:dyDescent="0.25">
      <c r="A11" s="7" t="str">
        <f ca="1">"    public sealed class "&amp;B6&amp;"Polygon"</f>
        <v xml:space="preserve">    public sealed class TrapezoidPolygon</v>
      </c>
      <c r="B11" s="41" t="s">
        <v>78</v>
      </c>
      <c r="E11" s="6" t="str" cm="1">
        <f t="array" aca="1" ref="E11" ca="1">INDIRECT("'" &amp; $B$3 &amp; "'!g"&amp;ROW(D11)-1)</f>
        <v>LeftDegreeAngle_LongBase</v>
      </c>
      <c r="F11" s="59" t="str" cm="1">
        <f t="array" aca="1" ref="F11" ca="1">INDIRECT("'" &amp; $B$3 &amp; "'!i"&amp;ROW(E11)-1)</f>
        <v>LeftRadianAngle_LongBase * 180/Math.PI</v>
      </c>
    </row>
    <row r="12" spans="1:6" x14ac:dyDescent="0.25">
      <c r="A12" s="1" t="s">
        <v>45</v>
      </c>
      <c r="B12" s="43" t="str" cm="1">
        <f t="array" aca="1" ref="B12" ca="1">INDIRECT("'" &amp; $B$3 &amp; "'!f3")</f>
        <v>ShortBase + LongBase + LeftLeg + RightLeg</v>
      </c>
      <c r="E12" s="6" t="str" cm="1">
        <f t="array" aca="1" ref="E12" ca="1">INDIRECT("'" &amp; $B$3 &amp; "'!g"&amp;ROW(D12)-1)</f>
        <v>RightDegreeAngle_LongBase</v>
      </c>
      <c r="F12" s="59" t="str" cm="1">
        <f t="array" aca="1" ref="F12" ca="1">INDIRECT("'" &amp; $B$3 &amp; "'!i"&amp;ROW(E12)-1)</f>
        <v>RightRadianAngle_LongBase * 180/Math.PI</v>
      </c>
    </row>
    <row r="13" spans="1:6" x14ac:dyDescent="0.25">
      <c r="A13" s="1" t="s">
        <v>89</v>
      </c>
      <c r="E13" s="6" t="str" cm="1">
        <f t="array" aca="1" ref="E13" ca="1">INDIRECT("'" &amp; $B$3 &amp; "'!g"&amp;ROW(D13)-1)</f>
        <v>LeftDegreeAngle_ShortBase</v>
      </c>
      <c r="F13" s="59" t="str" cm="1">
        <f t="array" aca="1" ref="F13" ca="1">INDIRECT("'" &amp; $B$3 &amp; "'!i"&amp;ROW(E13)-1)</f>
        <v>LeftRadianAngle_ShortBase * 180/Math.PI</v>
      </c>
    </row>
    <row r="14" spans="1:6" x14ac:dyDescent="0.25">
      <c r="A14" s="6" t="str">
        <f ca="1">"        private double m_"&amp;C3&amp;" = "&amp;D3&amp;";"</f>
        <v xml:space="preserve">        private double m_ShortBase = 20.0;</v>
      </c>
      <c r="B14" s="52" t="s">
        <v>99</v>
      </c>
      <c r="E14" s="6" t="str" cm="1">
        <f t="array" aca="1" ref="E14" ca="1">INDIRECT("'" &amp; $B$3 &amp; "'!g"&amp;ROW(D14)-1)</f>
        <v>RightDegreeAngle_ShortBase</v>
      </c>
      <c r="F14" s="59" t="str" cm="1">
        <f t="array" aca="1" ref="F14" ca="1">INDIRECT("'" &amp; $B$3 &amp; "'!i"&amp;ROW(E14)-1)</f>
        <v>RightRadianAngle_ShortBase * 180/Math.PI</v>
      </c>
    </row>
    <row r="15" spans="1:6" x14ac:dyDescent="0.25">
      <c r="A15" s="6" t="str">
        <f ca="1">"        private double m_"&amp;C4&amp;" = "&amp;D4&amp;";"</f>
        <v xml:space="preserve">        private double m_LongBase = 30.0;</v>
      </c>
      <c r="B15" s="52" t="s">
        <v>100</v>
      </c>
    </row>
    <row r="16" spans="1:6" x14ac:dyDescent="0.25">
      <c r="A16" s="6" t="str">
        <f ca="1">"        private double m_"&amp;C5&amp;" = "&amp;D5&amp;";"</f>
        <v xml:space="preserve">        private double m_LeftLeg = 13.0;</v>
      </c>
      <c r="B16" s="52" t="s">
        <v>101</v>
      </c>
    </row>
    <row r="17" spans="1:6" x14ac:dyDescent="0.25">
      <c r="A17" s="6" t="str">
        <f ca="1">"        private double m_"&amp;C6&amp;" = "&amp;D6&amp;";"</f>
        <v xml:space="preserve">        private double m_RightLeg = 13.0;</v>
      </c>
      <c r="B17" s="52" t="s">
        <v>102</v>
      </c>
    </row>
    <row r="18" spans="1:6" x14ac:dyDescent="0.25">
      <c r="B18" s="52" t="s">
        <v>103</v>
      </c>
    </row>
    <row r="19" spans="1:6" x14ac:dyDescent="0.25">
      <c r="A19" s="1" t="s">
        <v>90</v>
      </c>
    </row>
    <row r="20" spans="1:6" x14ac:dyDescent="0.25">
      <c r="A20" s="6" t="str">
        <f ca="1">"        public double "&amp;C3&amp;" { get { return this.m_"&amp;C3&amp;"; }  }"</f>
        <v xml:space="preserve">        public double ShortBase { get { return this.m_ShortBase; }  }</v>
      </c>
    </row>
    <row r="21" spans="1:6" x14ac:dyDescent="0.25">
      <c r="A21" s="6" t="str">
        <f ca="1">"        public double "&amp;C4&amp;" { get { return this.m_"&amp;C4&amp;"; }  }"</f>
        <v xml:space="preserve">        public double LongBase { get { return this.m_LongBase; }  }</v>
      </c>
    </row>
    <row r="22" spans="1:6" x14ac:dyDescent="0.25">
      <c r="A22" s="6" t="str">
        <f ca="1">"        public double "&amp;C5&amp;" { get { return this.m_"&amp;C5&amp;"; }  }"</f>
        <v xml:space="preserve">        public double LeftLeg { get { return this.m_LeftLeg; }  }</v>
      </c>
    </row>
    <row r="23" spans="1:6" x14ac:dyDescent="0.25">
      <c r="A23" s="6" t="str">
        <f ca="1">"        public double "&amp;C6&amp;" { get { return this.m_"&amp;C6&amp;"; }  }"</f>
        <v xml:space="preserve">        public double RightLeg { get { return this.m_RightLeg; }  }</v>
      </c>
    </row>
    <row r="24" spans="1:6" x14ac:dyDescent="0.25">
      <c r="A24" s="1" t="s">
        <v>46</v>
      </c>
    </row>
    <row r="25" spans="1:6" x14ac:dyDescent="0.25">
      <c r="A25" s="1" t="s">
        <v>91</v>
      </c>
    </row>
    <row r="26" spans="1:6" s="54" customFormat="1" x14ac:dyDescent="0.25">
      <c r="A26" s="6" t="str">
        <f t="shared" ref="A26:A37" ca="1" si="0">"        public double "&amp;E3&amp;" { get { return "&amp;F3&amp;"; }  }"</f>
        <v xml:space="preserve">        public double MiddleLine { get { return (ShortBase + LongBase)/2 ; }  }</v>
      </c>
      <c r="C26" s="55"/>
      <c r="F26" s="61"/>
    </row>
    <row r="27" spans="1:6" x14ac:dyDescent="0.25">
      <c r="A27" s="6" t="str">
        <f t="shared" ca="1" si="0"/>
        <v xml:space="preserve">        public double RightSmallBase { get { return (Math.Pow(RightLeg,2) - Math.Pow(LeftLeg,2) + Math.Pow(LongBase,2) + Math.Pow(ShortBase,2) - 2 * ShortBase * LongBase)/ (2*(LongBase - ShortBase)); }  }</v>
      </c>
      <c r="B27" s="54"/>
    </row>
    <row r="28" spans="1:6" s="54" customFormat="1" x14ac:dyDescent="0.25">
      <c r="A28" s="6" t="str">
        <f t="shared" ca="1" si="0"/>
        <v xml:space="preserve">        public double LeftSmallBase { get { return (Math.Pow(LeftLeg,2) - Math.Pow(RightLeg,2) + Math.Pow(LongBase,2) + Math.Pow(ShortBase,2) - 2 * ShortBase * LongBase)/ (2*(LongBase - ShortBase)); }  }</v>
      </c>
      <c r="C28" s="55"/>
      <c r="F28" s="61"/>
    </row>
    <row r="29" spans="1:6" s="54" customFormat="1" x14ac:dyDescent="0.25">
      <c r="A29" s="6" t="str">
        <f t="shared" ca="1" si="0"/>
        <v xml:space="preserve">        public double Height { get { return Math.Sqrt(Math.Pow(RightLeg,2.0) - Math.Pow(RightSmallBase,2.0)); }  }</v>
      </c>
      <c r="C29" s="55"/>
      <c r="F29" s="61"/>
    </row>
    <row r="30" spans="1:6" x14ac:dyDescent="0.25">
      <c r="A30" s="6" t="str">
        <f t="shared" ca="1" si="0"/>
        <v xml:space="preserve">        public double LeftRadianAngle_LongBase { get { return Math.Round(Math.Asin(Height/LeftLeg),4); }  }</v>
      </c>
    </row>
    <row r="31" spans="1:6" x14ac:dyDescent="0.25">
      <c r="A31" s="6" t="str">
        <f t="shared" ca="1" si="0"/>
        <v xml:space="preserve">        public double RightRadianAngle_LongBase { get { return Math.Round(Math.Asin(Height/RightLeg),4); }  }</v>
      </c>
    </row>
    <row r="32" spans="1:6" s="54" customFormat="1" x14ac:dyDescent="0.25">
      <c r="A32" s="6" t="str">
        <f t="shared" ca="1" si="0"/>
        <v xml:space="preserve">        public double LeftRadianAngle_ShortBase { get { return Math.Round(Math.PI/2 + Math.Asin( Height/LeftLeg),4); }  }</v>
      </c>
      <c r="C32" s="55"/>
      <c r="F32" s="61"/>
    </row>
    <row r="33" spans="1:1" x14ac:dyDescent="0.25">
      <c r="A33" s="6" t="str">
        <f t="shared" ca="1" si="0"/>
        <v xml:space="preserve">        public double RightRadianAngle_ShortBase { get { return Math.Round(Math.PI/2  + Math.Asin( Height/RightLeg),4); }  }</v>
      </c>
    </row>
    <row r="34" spans="1:1" x14ac:dyDescent="0.25">
      <c r="A34" s="6" t="str">
        <f t="shared" ca="1" si="0"/>
        <v xml:space="preserve">        public double LeftDegreeAngle_LongBase { get { return LeftRadianAngle_LongBase * 180/Math.PI; }  }</v>
      </c>
    </row>
    <row r="35" spans="1:1" x14ac:dyDescent="0.25">
      <c r="A35" s="6" t="str">
        <f t="shared" ca="1" si="0"/>
        <v xml:space="preserve">        public double RightDegreeAngle_LongBase { get { return RightRadianAngle_LongBase * 180/Math.PI; }  }</v>
      </c>
    </row>
    <row r="36" spans="1:1" x14ac:dyDescent="0.25">
      <c r="A36" s="6" t="str">
        <f t="shared" ca="1" si="0"/>
        <v xml:space="preserve">        public double LeftDegreeAngle_ShortBase { get { return LeftRadianAngle_ShortBase * 180/Math.PI; }  }</v>
      </c>
    </row>
    <row r="37" spans="1:1" x14ac:dyDescent="0.25">
      <c r="A37" s="6" t="str">
        <f t="shared" ca="1" si="0"/>
        <v xml:space="preserve">        public double RightDegreeAngle_ShortBase { get { return RightRadianAngle_ShortBase * 180/Math.PI; }  }</v>
      </c>
    </row>
    <row r="39" spans="1:1" x14ac:dyDescent="0.25">
      <c r="A39" s="1" t="s">
        <v>87</v>
      </c>
    </row>
    <row r="40" spans="1:1" x14ac:dyDescent="0.25">
      <c r="A40" s="43" t="str">
        <f ca="1">"        public double Area { get { return "&amp;B9&amp;"; } }"</f>
        <v xml:space="preserve">        public double Area { get { return MiddleLine * Height; } }</v>
      </c>
    </row>
    <row r="41" spans="1:1" x14ac:dyDescent="0.25">
      <c r="A41" s="43" t="str">
        <f ca="1">"        public double Perimeter { get { return "&amp;B12&amp;"; } }"</f>
        <v xml:space="preserve">        public double Perimeter { get { return ShortBase + LongBase + LeftLeg + RightLeg; } }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1</v>
      </c>
    </row>
    <row r="45" spans="1:1" x14ac:dyDescent="0.25">
      <c r="A45" s="54" t="s">
        <v>88</v>
      </c>
    </row>
    <row r="46" spans="1:1" x14ac:dyDescent="0.25">
      <c r="A46" s="7" t="str">
        <f>"            var result = string.Format(""The "&amp;B23&amp;" object:\r\n   Area = {0}\r\n   Perimeter = {1}"", this.Area, this.Perimeter);"</f>
        <v xml:space="preserve">            var result = string.Format("The  object:\r\n   Area = {0}\r\n   Perimeter = {1}", this.Area, this.Perimeter);</v>
      </c>
    </row>
    <row r="47" spans="1:1" x14ac:dyDescent="0.25">
      <c r="A47" s="54" t="s">
        <v>86</v>
      </c>
    </row>
    <row r="48" spans="1:1" x14ac:dyDescent="0.25">
      <c r="A48" s="54" t="str">
        <f>"            result += ""\r\n--------\r\n Main attributes:"";"</f>
        <v xml:space="preserve">            result += "\r\n--------\r\n Main attributes:";</v>
      </c>
    </row>
    <row r="49" spans="1:1" x14ac:dyDescent="0.25">
      <c r="A49" s="6" t="str">
        <f ca="1">"            result += string.Format(""\r\n   "&amp;C3&amp;" = {0}"", this."&amp;C3&amp;");"</f>
        <v xml:space="preserve">            result += string.Format("\r\n   ShortBase = {0}", this.ShortBase);</v>
      </c>
    </row>
    <row r="50" spans="1:1" x14ac:dyDescent="0.25">
      <c r="A50" s="6" t="str">
        <f ca="1">"            result += string.Format(""\r\n   "&amp;C4&amp;" = {0}"", this."&amp;C4&amp;");"</f>
        <v xml:space="preserve">            result += string.Format("\r\n   LongBase = {0}", this.LongBase);</v>
      </c>
    </row>
    <row r="51" spans="1:1" x14ac:dyDescent="0.25">
      <c r="A51" s="6" t="str">
        <f ca="1">"            result += string.Format(""\r\n   "&amp;C5&amp;" = {0}"", this."&amp;C5&amp;");"</f>
        <v xml:space="preserve">            result += string.Format("\r\n   LeftLeg = {0}", this.LeftLeg);</v>
      </c>
    </row>
    <row r="52" spans="1:1" x14ac:dyDescent="0.25">
      <c r="A52" s="6" t="str">
        <f ca="1">"            result += string.Format(""\r\n   "&amp;C6&amp;" = {0}"", this."&amp;C6&amp;");"</f>
        <v xml:space="preserve">            result += string.Format("\r\n   RightLeg = {0}", this.RightLeg);</v>
      </c>
    </row>
    <row r="53" spans="1:1" x14ac:dyDescent="0.25">
      <c r="A53" s="54" t="s">
        <v>93</v>
      </c>
    </row>
    <row r="54" spans="1:1" x14ac:dyDescent="0.25">
      <c r="A54" s="54" t="str">
        <f>"            result += ""\r\n--------\r\n Derived attributes:"";"</f>
        <v xml:space="preserve">            result += "\r\n--------\r\n Derived attributes:";</v>
      </c>
    </row>
    <row r="55" spans="1:1" x14ac:dyDescent="0.25">
      <c r="A55" s="6" t="str">
        <f t="shared" ref="A55:A66" ca="1" si="1">"            result += string.Format(""\r\n   "&amp;E3&amp;" = {0}"", this."&amp;E3&amp;");"</f>
        <v xml:space="preserve">            result += string.Format("\r\n   MiddleLine = {0}", this.MiddleLine);</v>
      </c>
    </row>
    <row r="56" spans="1:1" x14ac:dyDescent="0.25">
      <c r="A56" s="6" t="str">
        <f t="shared" ca="1" si="1"/>
        <v xml:space="preserve">            result += string.Format("\r\n   RightSmallBase = {0}", this.RightSmallBase);</v>
      </c>
    </row>
    <row r="57" spans="1:1" x14ac:dyDescent="0.25">
      <c r="A57" s="6" t="str">
        <f t="shared" ca="1" si="1"/>
        <v xml:space="preserve">            result += string.Format("\r\n   LeftSmallBase = {0}", this.LeftSmallBase);</v>
      </c>
    </row>
    <row r="58" spans="1:1" x14ac:dyDescent="0.25">
      <c r="A58" s="6" t="str">
        <f t="shared" ca="1" si="1"/>
        <v xml:space="preserve">            result += string.Format("\r\n   Height = {0}", this.Height);</v>
      </c>
    </row>
    <row r="59" spans="1:1" x14ac:dyDescent="0.25">
      <c r="A59" s="6" t="str">
        <f t="shared" ca="1" si="1"/>
        <v xml:space="preserve">            result += string.Format("\r\n   LeftRadianAngle_LongBase = {0}", this.LeftRadianAngle_LongBase);</v>
      </c>
    </row>
    <row r="60" spans="1:1" x14ac:dyDescent="0.25">
      <c r="A60" s="6" t="str">
        <f t="shared" ca="1" si="1"/>
        <v xml:space="preserve">            result += string.Format("\r\n   RightRadianAngle_LongBase = {0}", this.RightRadianAngle_LongBase);</v>
      </c>
    </row>
    <row r="61" spans="1:1" x14ac:dyDescent="0.25">
      <c r="A61" s="6" t="str">
        <f t="shared" ca="1" si="1"/>
        <v xml:space="preserve">            result += string.Format("\r\n   LeftRadianAngle_ShortBase = {0}", this.LeftRadianAngle_ShortBase);</v>
      </c>
    </row>
    <row r="62" spans="1:1" x14ac:dyDescent="0.25">
      <c r="A62" s="6" t="str">
        <f t="shared" ca="1" si="1"/>
        <v xml:space="preserve">            result += string.Format("\r\n   RightRadianAngle_ShortBase = {0}", this.RightRadianAngle_ShortBase);</v>
      </c>
    </row>
    <row r="63" spans="1:1" x14ac:dyDescent="0.25">
      <c r="A63" s="6" t="str">
        <f t="shared" ca="1" si="1"/>
        <v xml:space="preserve">            result += string.Format("\r\n   LeftDegreeAngle_LongBase = {0}", this.LeftDegreeAngle_LongBase);</v>
      </c>
    </row>
    <row r="64" spans="1:1" x14ac:dyDescent="0.25">
      <c r="A64" s="6" t="str">
        <f t="shared" ca="1" si="1"/>
        <v xml:space="preserve">            result += string.Format("\r\n   RightDegreeAngle_LongBase = {0}", this.RightDegreeAngle_LongBase);</v>
      </c>
    </row>
    <row r="65" spans="1:1" x14ac:dyDescent="0.25">
      <c r="A65" s="6" t="str">
        <f t="shared" ca="1" si="1"/>
        <v xml:space="preserve">            result += string.Format("\r\n   LeftDegreeAngle_ShortBase = {0}", this.LeftDegreeAngle_ShortBase);</v>
      </c>
    </row>
    <row r="66" spans="1:1" x14ac:dyDescent="0.25">
      <c r="A66" s="6" t="str">
        <f t="shared" ca="1" si="1"/>
        <v xml:space="preserve">            result += string.Format("\r\n   RightDegreeAngle_ShortBase = {0}", this.RightDegreeAngle_ShortBase);</v>
      </c>
    </row>
    <row r="67" spans="1:1" x14ac:dyDescent="0.25">
      <c r="A67" s="1" t="s">
        <v>49</v>
      </c>
    </row>
    <row r="68" spans="1:1" x14ac:dyDescent="0.25">
      <c r="A68" s="1" t="s">
        <v>2</v>
      </c>
    </row>
    <row r="69" spans="1:1" x14ac:dyDescent="0.25">
      <c r="A69" s="1" t="s">
        <v>47</v>
      </c>
    </row>
    <row r="70" spans="1:1" x14ac:dyDescent="0.25">
      <c r="A70" s="1" t="s">
        <v>50</v>
      </c>
    </row>
    <row r="71" spans="1:1" x14ac:dyDescent="0.25">
      <c r="A71" s="1" t="s">
        <v>1</v>
      </c>
    </row>
    <row r="72" spans="1:1" x14ac:dyDescent="0.25">
      <c r="A72" s="7" t="str">
        <f ca="1">"            var polygon = new "&amp;B6&amp;"Polygon();"</f>
        <v xml:space="preserve">            var polygon = new TrapezoidPolygon();</v>
      </c>
    </row>
    <row r="74" spans="1:1" x14ac:dyDescent="0.25">
      <c r="A74" s="1" t="s">
        <v>92</v>
      </c>
    </row>
    <row r="75" spans="1:1" x14ac:dyDescent="0.25">
      <c r="A75" s="1" t="s">
        <v>2</v>
      </c>
    </row>
    <row r="76" spans="1:1" x14ac:dyDescent="0.25">
      <c r="A76" s="1" t="s">
        <v>51</v>
      </c>
    </row>
    <row r="77" spans="1:1" x14ac:dyDescent="0.25">
      <c r="A77" s="1" t="s">
        <v>52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0E2C98-5914-45AA-84DF-A0E62BA11B33}">
          <x14:formula1>
            <xm:f>'Models-Names'!$A$2:$A$4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BC19-7AC1-4522-8B66-97353F2DA218}">
  <sheetPr codeName="Tabelle8"/>
  <dimension ref="A1:A4"/>
  <sheetViews>
    <sheetView workbookViewId="0"/>
  </sheetViews>
  <sheetFormatPr baseColWidth="10" defaultRowHeight="15" x14ac:dyDescent="0.25"/>
  <cols>
    <col min="1" max="1" width="20.28515625" customWidth="1"/>
  </cols>
  <sheetData>
    <row r="1" spans="1:1" x14ac:dyDescent="0.25">
      <c r="A1" s="48" t="s">
        <v>55</v>
      </c>
    </row>
    <row r="2" spans="1:1" x14ac:dyDescent="0.25">
      <c r="A2" t="s">
        <v>54</v>
      </c>
    </row>
    <row r="3" spans="1:1" x14ac:dyDescent="0.25">
      <c r="A3" t="s">
        <v>83</v>
      </c>
    </row>
    <row r="4" spans="1:1" x14ac:dyDescent="0.25">
      <c r="A4" t="s">
        <v>84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83406F60FFA3B4A8BBF3895E65B691D" ma:contentTypeVersion="" ma:contentTypeDescription="Ein neues Dokument erstellen." ma:contentTypeScope="" ma:versionID="1a7c330c667056b0b3685eb2c28e3aa9">
  <xsd:schema xmlns:xsd="http://www.w3.org/2001/XMLSchema" xmlns:xs="http://www.w3.org/2001/XMLSchema" xmlns:p="http://schemas.microsoft.com/office/2006/metadata/properties" xmlns:ns2="$ListId:ProjektDokumente;" xmlns:ns3="256f3bee-e37a-480d-8351-9f6a26bb8f29" targetNamespace="http://schemas.microsoft.com/office/2006/metadata/properties" ma:root="true" ma:fieldsID="ec1a712aa5e2b31fc70dd7379d10265a" ns2:_="" ns3:_="">
    <xsd:import namespace="$ListId:ProjektDokumente;"/>
    <xsd:import namespace="256f3bee-e37a-480d-8351-9f6a26bb8f29"/>
    <xsd:element name="properties">
      <xsd:complexType>
        <xsd:sequence>
          <xsd:element name="documentManagement">
            <xsd:complexType>
              <xsd:all>
                <xsd:element ref="ns2:Projekt" minOccurs="0"/>
                <xsd:element ref="ns2:Projekt_x003a_Projekt_x002d_Titel" minOccurs="0"/>
                <xsd:element ref="ns2:Dokument_x002d_Typ" minOccurs="0"/>
                <xsd:element ref="ns3:Off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$ListId:ProjektDokumente;" elementFormDefault="qualified">
    <xsd:import namespace="http://schemas.microsoft.com/office/2006/documentManagement/types"/>
    <xsd:import namespace="http://schemas.microsoft.com/office/infopath/2007/PartnerControls"/>
    <xsd:element name="Projekt" ma:index="8" nillable="true" ma:displayName="Projekt" ma:indexed="true" ma:list="{4513FAF2-B272-48F2-85D9-EB548E0B5494}" ma:internalName="Projekt" ma:showField="LinkTitleNoMenu">
      <xsd:simpleType>
        <xsd:restriction base="dms:Lookup"/>
      </xsd:simpleType>
    </xsd:element>
    <xsd:element name="Projekt_x003a_Projekt_x002d_Titel" ma:index="9" nillable="true" ma:displayName="Projekt:Projekt-Titel" ma:list="{4513FAF2-B272-48F2-85D9-EB548E0B5494}" ma:internalName="Projekt_x003a_Projekt_x002d_Titel" ma:readOnly="true" ma:showField="Projekt_x002d_Titel" ma:web="">
      <xsd:simpleType>
        <xsd:restriction base="dms:Lookup"/>
      </xsd:simpleType>
    </xsd:element>
    <xsd:element name="Dokument_x002d_Typ" ma:index="10" nillable="true" ma:displayName="Dokument-Typ" ma:indexed="true" ma:list="{77487DD2-9510-4258-85BC-B33B7FAFF933}" ma:internalName="Dokument_x002d_Typ" ma:showField="Title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f3bee-e37a-480d-8351-9f6a26bb8f29" elementFormDefault="qualified">
    <xsd:import namespace="http://schemas.microsoft.com/office/2006/documentManagement/types"/>
    <xsd:import namespace="http://schemas.microsoft.com/office/infopath/2007/PartnerControls"/>
    <xsd:element name="Offen" ma:index="11" nillable="true" ma:displayName="Offen" ma:default="1" ma:internalName="Offen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ffen xmlns="256f3bee-e37a-480d-8351-9f6a26bb8f29">true</Offen>
    <Projekt xmlns="$ListId:ProjektDokumente;">1</Projekt>
    <Dokument_x002d_Typ xmlns="$ListId:ProjektDokumente;">4</Dokument_x002d_Typ>
  </documentManagement>
</p:properties>
</file>

<file path=customXml/itemProps1.xml><?xml version="1.0" encoding="utf-8"?>
<ds:datastoreItem xmlns:ds="http://schemas.openxmlformats.org/officeDocument/2006/customXml" ds:itemID="{EE434EF5-BF60-4EB1-A0AA-B91C446D8163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36BC43B9-A895-4FD6-BD0C-B6AAD423594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34BEAB5-A09E-4043-90C4-B68B2B4C2B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$ListId:ProjektDokumente;"/>
    <ds:schemaRef ds:uri="256f3bee-e37a-480d-8351-9f6a26bb8f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7A42C9C-905A-414D-82C0-9B7FE986BA41}">
  <ds:schemaRefs>
    <ds:schemaRef ds:uri="http://schemas.microsoft.com/office/2006/metadata/properties"/>
    <ds:schemaRef ds:uri="http://schemas.microsoft.com/office/infopath/2007/PartnerControls"/>
    <ds:schemaRef ds:uri="256f3bee-e37a-480d-8351-9f6a26bb8f29"/>
    <ds:schemaRef ds:uri="$ListId:ProjektDokumente;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Meta-Model</vt:lpstr>
      <vt:lpstr>Circle-Model</vt:lpstr>
      <vt:lpstr>Rectangle-Model</vt:lpstr>
      <vt:lpstr>Trapezoid-Model</vt:lpstr>
      <vt:lpstr>CodeGenerator-1</vt:lpstr>
      <vt:lpstr>CodeGenerator-2</vt:lpstr>
      <vt:lpstr>CodeGenerator-3</vt:lpstr>
      <vt:lpstr>Models-Names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Mars_Raw_Modell</dc:title>
  <dc:creator>Dobrochynskyy, Mykola</dc:creator>
  <cp:lastModifiedBy>Mykola Dobrochynskyy</cp:lastModifiedBy>
  <dcterms:created xsi:type="dcterms:W3CDTF">2015-07-28T18:56:31Z</dcterms:created>
  <dcterms:modified xsi:type="dcterms:W3CDTF">2021-07-19T14:22:25Z</dcterms:modified>
</cp:coreProperties>
</file>